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Legend" state="visible" r:id="rId5"/>
    <sheet sheetId="3" name="DPDP Tracker" state="visible" r:id="rId6"/>
    <sheet sheetId="4" name="Summary" state="visible" r:id="rId7"/>
  </sheets>
  <calcPr calcId="171027"/>
</workbook>
</file>

<file path=xl/sharedStrings.xml><?xml version="1.0" encoding="utf-8"?>
<sst xmlns="http://schemas.openxmlformats.org/spreadsheetml/2006/main" count="226" uniqueCount="142">
  <si>
    <t>PulseDesk — DPDP Compliance Tracker</t>
  </si>
  <si>
    <t>Document ID</t>
  </si>
  <si>
    <t>PD-DPDP-001</t>
  </si>
  <si>
    <t>Version</t>
  </si>
  <si>
    <t>1.0</t>
  </si>
  <si>
    <t>Date</t>
  </si>
  <si>
    <t>2026-08-01</t>
  </si>
  <si>
    <t>Prepared by</t>
  </si>
  <si>
    <t>TandSol</t>
  </si>
  <si>
    <t>Status</t>
  </si>
  <si>
    <t>Living</t>
  </si>
  <si>
    <t>Related documents</t>
  </si>
  <si>
    <t>PD-DRP-001, PD-RTM-001, PD-SDD-001</t>
  </si>
  <si>
    <t>Classification</t>
  </si>
  <si>
    <t>Internal</t>
  </si>
  <si>
    <t>Revision note</t>
  </si>
  <si>
    <t>v1.0 — initial baseline issued with the first working build.</t>
  </si>
  <si>
    <t/>
  </si>
  <si>
    <t>Done</t>
  </si>
  <si>
    <t>Control in place with cited evidence</t>
  </si>
  <si>
    <t>Partial</t>
  </si>
  <si>
    <t>Partly addressed, gap recorded in Notes</t>
  </si>
  <si>
    <t>Not Started</t>
  </si>
  <si>
    <t>No action taken — usually because the section does not apply today</t>
  </si>
  <si>
    <t>Applicability</t>
  </si>
  <si>
    <t>Applicable</t>
  </si>
  <si>
    <t>The section governs this app as built</t>
  </si>
  <si>
    <t>Partially applicable</t>
  </si>
  <si>
    <t>Governs only a future hosted component</t>
  </si>
  <si>
    <t>Not applicable</t>
  </si>
  <si>
    <t>Out of scope for a local-only, account-free app</t>
  </si>
  <si>
    <t>Frameworks</t>
  </si>
  <si>
    <t>DPDP</t>
  </si>
  <si>
    <t>Digital Personal Data Protection Act, 2023</t>
  </si>
  <si>
    <t>CERT-In</t>
  </si>
  <si>
    <t>CERT-In Directions, 28 April 2022</t>
  </si>
  <si>
    <t>GIGW</t>
  </si>
  <si>
    <t>GIGW 3.0 / WCAG 2.1 AA</t>
  </si>
  <si>
    <t>Ref</t>
  </si>
  <si>
    <t>Section</t>
  </si>
  <si>
    <t>Requirement</t>
  </si>
  <si>
    <t>Evidence</t>
  </si>
  <si>
    <t>Owner</t>
  </si>
  <si>
    <t>Next Review</t>
  </si>
  <si>
    <t>Notes</t>
  </si>
  <si>
    <t>DP-01</t>
  </si>
  <si>
    <t>§2(t) Personal data</t>
  </si>
  <si>
    <t>Identify whether the app processes personal data</t>
  </si>
  <si>
    <t>Only portfolio holdings, base currency, cash and approximate location are held, all on the user device (portfolio.json, settings.json)</t>
  </si>
  <si>
    <t>2027-02-01</t>
  </si>
  <si>
    <t>No account, no identifier, no server-side profile</t>
  </si>
  <si>
    <t>DP-02</t>
  </si>
  <si>
    <t>§4 Grounds for processing</t>
  </si>
  <si>
    <t>Process only for a lawful purpose with consent or legitimate use</t>
  </si>
  <si>
    <t>Data is entered by the user for their own display; nothing is processed for any other purpose</t>
  </si>
  <si>
    <t>Voluntary, purpose-limited, on-device</t>
  </si>
  <si>
    <t>DP-03</t>
  </si>
  <si>
    <t>§5 Notice</t>
  </si>
  <si>
    <t>Give notice of what is collected and why</t>
  </si>
  <si>
    <t>README.md "How the numbers are derived" and PD_Data_Retention_Policy_v1.0.docx describe every stored field and every outbound call</t>
  </si>
  <si>
    <t>In-app settings panel exposes the location override</t>
  </si>
  <si>
    <t>DP-04</t>
  </si>
  <si>
    <t>§6 Consent</t>
  </si>
  <si>
    <t>Obtain free, specific, informed consent where consent is the ground</t>
  </si>
  <si>
    <t>Holdings only exist because the user typed them; geolocation can be replaced with manual coordinates in settings</t>
  </si>
  <si>
    <t>No dark patterns, no pre-ticked options</t>
  </si>
  <si>
    <t>DP-05</t>
  </si>
  <si>
    <t>§7 Legitimate uses</t>
  </si>
  <si>
    <t>Rely on legitimate use only where permitted</t>
  </si>
  <si>
    <t>No processing occurs outside the user own device for their own benefit</t>
  </si>
  <si>
    <t>—</t>
  </si>
  <si>
    <t>DP-06</t>
  </si>
  <si>
    <t>§8(4) Security safeguards</t>
  </si>
  <si>
    <t>Apply reasonable security safeguards to prevent breach</t>
  </si>
  <si>
    <t>contextIsolation on, nodeIntegration off, CSP enforced, all remote text escaped, external links sandboxed to the system browser</t>
  </si>
  <si>
    <t>Verified in the security review of 2026-08-01</t>
  </si>
  <si>
    <t>DP-07</t>
  </si>
  <si>
    <t>§8(5) Breach notification</t>
  </si>
  <si>
    <t>Notify the Board and affected users of a personal data breach</t>
  </si>
  <si>
    <t>No central store exists to breach; a compromised release would be handled by a repository advisory</t>
  </si>
  <si>
    <t>Formal advisory template still to be written</t>
  </si>
  <si>
    <t>DP-08</t>
  </si>
  <si>
    <t>§8(7) Erasure</t>
  </si>
  <si>
    <t>Erase personal data when the purpose is served or consent is withdrawn</t>
  </si>
  <si>
    <t>Deleting %APPDATA%\pulse-desk removes every stored field; the tray menu opens that folder directly</t>
  </si>
  <si>
    <t>Documented in PD-DRP-001 §4</t>
  </si>
  <si>
    <t>DP-09</t>
  </si>
  <si>
    <t>§8(9) Grievance redressal</t>
  </si>
  <si>
    <t>Publish a contact point for data grievances</t>
  </si>
  <si>
    <t>Owner contact is the repository maintainer listed in README.md</t>
  </si>
  <si>
    <t>Add a dedicated grievance email before public distribution</t>
  </si>
  <si>
    <t>DP-10</t>
  </si>
  <si>
    <t>§9 Children data</t>
  </si>
  <si>
    <t>Do not process children data without verifiable parental consent</t>
  </si>
  <si>
    <t>No age data collected; the app is a personal finance tool for adults</t>
  </si>
  <si>
    <t>DP-11</t>
  </si>
  <si>
    <t>§11 Right to access and correction</t>
  </si>
  <si>
    <t>Let the user access and correct their data</t>
  </si>
  <si>
    <t>Holdings are editable in the UI and the underlying JSON files are plain text the user can open</t>
  </si>
  <si>
    <t>Tray → Open data folder</t>
  </si>
  <si>
    <t>DP-12</t>
  </si>
  <si>
    <t>§16 Cross-border transfer</t>
  </si>
  <si>
    <t>Respect restrictions on transfer outside India</t>
  </si>
  <si>
    <t>No personal data is transmitted; outbound calls carry only ticker symbols and, unless overridden, an IP-derived coordinate pair</t>
  </si>
  <si>
    <t>Manual coordinates remove even that</t>
  </si>
  <si>
    <t>DP-13</t>
  </si>
  <si>
    <t>§4, §8 Usage analytics</t>
  </si>
  <si>
    <t>Ensure any usage measurement is lawful, minimal and secured</t>
  </si>
  <si>
    <t>The counter stores only a client-generated random id, date, event kind, platform and two-letter country in Cloudflare D1; no IP, cookie, email or account exists. Rows are deleted after 90 days. Evidence: worker/schema.sql, worker/src/index.js, PD-DRP-001 §2</t>
  </si>
  <si>
    <t>Purpose is limited to counting devices and app opens</t>
  </si>
  <si>
    <t>DP-14</t>
  </si>
  <si>
    <t>§5 Notice for analytics</t>
  </si>
  <si>
    <t>Tell users what is measured</t>
  </si>
  <si>
    <t>The private stats page and PD-DRP-001 state it; an in-app privacy line on the web build is still to be added</t>
  </si>
  <si>
    <t>2026-10-01</t>
  </si>
  <si>
    <t>Tracked alongside RSK-017</t>
  </si>
  <si>
    <t>DP-15</t>
  </si>
  <si>
    <t>§8(7) Erasure of web data</t>
  </si>
  <si>
    <t>Allow erasure of data held in the browser</t>
  </si>
  <si>
    <t>Clearing site data for the domain removes holdings, settings, history and the visitor id; the visitor id is then regenerated as a new anonymous value</t>
  </si>
  <si>
    <t>No server-side copy exists to erase</t>
  </si>
  <si>
    <t>CI-01</t>
  </si>
  <si>
    <t>CERT-In 2022 §(ii) Log retention</t>
  </si>
  <si>
    <t>Retain system logs for 180 days within India</t>
  </si>
  <si>
    <t>App keeps no server logs; only a 400-entry local net-worth history exists</t>
  </si>
  <si>
    <t>Applies only if a hosted component is ever added</t>
  </si>
  <si>
    <t>CI-02</t>
  </si>
  <si>
    <t>CERT-In 2022 §(i) Incident reporting</t>
  </si>
  <si>
    <t>Report reportable incidents within 6 hours</t>
  </si>
  <si>
    <t>No hosted surface to attack today</t>
  </si>
  <si>
    <t>Revisit if a sync backend is introduced</t>
  </si>
  <si>
    <t>GW-01</t>
  </si>
  <si>
    <t>Meet contrast and non-colour-only signalling</t>
  </si>
  <si>
    <t>Direction is carried by arrows and text as well as colour; a full contrast audit is outstanding</t>
  </si>
  <si>
    <t>2026-11-01</t>
  </si>
  <si>
    <t>NFR-007</t>
  </si>
  <si>
    <t>Metric</t>
  </si>
  <si>
    <t>Value</t>
  </si>
  <si>
    <t>Sections tracked</t>
  </si>
  <si>
    <t>Not started</t>
  </si>
  <si>
    <t>Applicable sections</t>
  </si>
  <si>
    <t>Percent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</si>
</sst>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0152B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3B2E7E"/>
      </patternFill>
    </fill>
    <fill>
      <patternFill patternType="solid">
        <fgColor rgb="FFF2F4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0" fillId="0" borderId="0" xfId="0" applyAlignment="1">
      <alignment vertical="top" wrapText="1"/>
    </xf>
    <xf numFmtId="0" fontId="3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0" fontId="3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6" customWidth="1"/>
    <col min="2" max="2" width="92" customWidth="1"/>
  </cols>
  <sheetData>
    <row r="1" ht="30" customHeight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3" t="s">
        <v>14</v>
      </c>
    </row>
    <row r="9" spans="1:2" x14ac:dyDescent="0.25">
      <c r="A9" s="2" t="s">
        <v>15</v>
      </c>
      <c r="B9" s="3" t="s">
        <v>16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22" customWidth="1"/>
    <col min="2" max="2" width="24" customWidth="1"/>
    <col min="3" max="3" width="84" customWidth="1"/>
  </cols>
  <sheetData>
    <row r="1" spans="1:1" x14ac:dyDescent="0.25">
      <c r="A1" s="4" t="s">
        <v>9</v>
      </c>
    </row>
    <row r="2" spans="1:3" x14ac:dyDescent="0.25">
      <c r="A2" t="s">
        <v>17</v>
      </c>
      <c r="B2" s="5" t="s">
        <v>18</v>
      </c>
      <c r="C2" s="6" t="s">
        <v>19</v>
      </c>
    </row>
    <row r="3" spans="1:3" x14ac:dyDescent="0.25">
      <c r="A3" t="s">
        <v>17</v>
      </c>
      <c r="B3" s="5" t="s">
        <v>20</v>
      </c>
      <c r="C3" s="6" t="s">
        <v>21</v>
      </c>
    </row>
    <row r="4" spans="1:3" x14ac:dyDescent="0.25">
      <c r="A4" t="s">
        <v>17</v>
      </c>
      <c r="B4" s="5" t="s">
        <v>22</v>
      </c>
      <c r="C4" s="6" t="s">
        <v>23</v>
      </c>
    </row>
    <row r="6" spans="1:1" x14ac:dyDescent="0.25">
      <c r="A6" s="4" t="s">
        <v>24</v>
      </c>
    </row>
    <row r="7" spans="1:3" x14ac:dyDescent="0.25">
      <c r="A7" t="s">
        <v>17</v>
      </c>
      <c r="B7" s="5" t="s">
        <v>25</v>
      </c>
      <c r="C7" s="6" t="s">
        <v>26</v>
      </c>
    </row>
    <row r="8" spans="1:3" x14ac:dyDescent="0.25">
      <c r="A8" t="s">
        <v>17</v>
      </c>
      <c r="B8" s="5" t="s">
        <v>27</v>
      </c>
      <c r="C8" s="6" t="s">
        <v>28</v>
      </c>
    </row>
    <row r="9" spans="1:3" x14ac:dyDescent="0.25">
      <c r="A9" t="s">
        <v>17</v>
      </c>
      <c r="B9" s="5" t="s">
        <v>29</v>
      </c>
      <c r="C9" s="6" t="s">
        <v>30</v>
      </c>
    </row>
    <row r="11" spans="1:1" x14ac:dyDescent="0.25">
      <c r="A11" s="4" t="s">
        <v>31</v>
      </c>
    </row>
    <row r="12" spans="1:3" x14ac:dyDescent="0.25">
      <c r="A12" t="s">
        <v>17</v>
      </c>
      <c r="B12" s="5" t="s">
        <v>32</v>
      </c>
      <c r="C12" s="6" t="s">
        <v>33</v>
      </c>
    </row>
    <row r="13" spans="1:3" x14ac:dyDescent="0.25">
      <c r="A13" t="s">
        <v>17</v>
      </c>
      <c r="B13" s="5" t="s">
        <v>34</v>
      </c>
      <c r="C13" s="6" t="s">
        <v>35</v>
      </c>
    </row>
    <row r="14" spans="1:3" x14ac:dyDescent="0.25">
      <c r="A14" t="s">
        <v>17</v>
      </c>
      <c r="B14" s="5" t="s">
        <v>36</v>
      </c>
      <c r="C14" s="6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3" width="56" customWidth="1"/>
    <col min="4" max="4" width="20" customWidth="1"/>
    <col min="5" max="5" width="12" customWidth="1"/>
    <col min="6" max="6" width="74" customWidth="1"/>
    <col min="7" max="7" width="10" customWidth="1"/>
    <col min="8" max="8" width="13" customWidth="1"/>
    <col min="9" max="9" width="40" customWidth="1"/>
  </cols>
  <sheetData>
    <row r="1" ht="30" customHeight="1" spans="1:9" s="7" customFormat="1" x14ac:dyDescent="0.25">
      <c r="A1" s="7" t="s">
        <v>38</v>
      </c>
      <c r="B1" s="7" t="s">
        <v>39</v>
      </c>
      <c r="C1" s="7" t="s">
        <v>40</v>
      </c>
      <c r="D1" s="7" t="s">
        <v>24</v>
      </c>
      <c r="E1" s="7" t="s">
        <v>9</v>
      </c>
      <c r="F1" s="7" t="s">
        <v>41</v>
      </c>
      <c r="G1" s="7" t="s">
        <v>42</v>
      </c>
      <c r="H1" s="7" t="s">
        <v>43</v>
      </c>
      <c r="I1" s="7" t="s">
        <v>44</v>
      </c>
    </row>
    <row r="2" spans="1:9" s="8" customFormat="1" x14ac:dyDescent="0.25">
      <c r="A2" s="8" t="s">
        <v>45</v>
      </c>
      <c r="B2" s="8" t="s">
        <v>46</v>
      </c>
      <c r="C2" s="8" t="s">
        <v>47</v>
      </c>
      <c r="D2" s="8" t="s">
        <v>25</v>
      </c>
      <c r="E2" s="8" t="s">
        <v>18</v>
      </c>
      <c r="F2" s="8" t="s">
        <v>48</v>
      </c>
      <c r="G2" s="8" t="s">
        <v>42</v>
      </c>
      <c r="H2" s="8" t="s">
        <v>49</v>
      </c>
      <c r="I2" s="8" t="s">
        <v>50</v>
      </c>
    </row>
    <row r="3" spans="1:9" s="3" customFormat="1" x14ac:dyDescent="0.25">
      <c r="A3" s="3" t="s">
        <v>51</v>
      </c>
      <c r="B3" s="3" t="s">
        <v>52</v>
      </c>
      <c r="C3" s="3" t="s">
        <v>53</v>
      </c>
      <c r="D3" s="3" t="s">
        <v>25</v>
      </c>
      <c r="E3" s="3" t="s">
        <v>18</v>
      </c>
      <c r="F3" s="3" t="s">
        <v>54</v>
      </c>
      <c r="G3" s="3" t="s">
        <v>42</v>
      </c>
      <c r="H3" s="3" t="s">
        <v>49</v>
      </c>
      <c r="I3" s="3" t="s">
        <v>55</v>
      </c>
    </row>
    <row r="4" spans="1:9" s="8" customFormat="1" x14ac:dyDescent="0.25">
      <c r="A4" s="8" t="s">
        <v>56</v>
      </c>
      <c r="B4" s="8" t="s">
        <v>57</v>
      </c>
      <c r="C4" s="8" t="s">
        <v>58</v>
      </c>
      <c r="D4" s="8" t="s">
        <v>25</v>
      </c>
      <c r="E4" s="8" t="s">
        <v>18</v>
      </c>
      <c r="F4" s="8" t="s">
        <v>59</v>
      </c>
      <c r="G4" s="8" t="s">
        <v>42</v>
      </c>
      <c r="H4" s="8" t="s">
        <v>49</v>
      </c>
      <c r="I4" s="8" t="s">
        <v>60</v>
      </c>
    </row>
    <row r="5" spans="1:9" s="3" customFormat="1" x14ac:dyDescent="0.25">
      <c r="A5" s="3" t="s">
        <v>61</v>
      </c>
      <c r="B5" s="3" t="s">
        <v>62</v>
      </c>
      <c r="C5" s="3" t="s">
        <v>63</v>
      </c>
      <c r="D5" s="3" t="s">
        <v>27</v>
      </c>
      <c r="E5" s="3" t="s">
        <v>18</v>
      </c>
      <c r="F5" s="3" t="s">
        <v>64</v>
      </c>
      <c r="G5" s="3" t="s">
        <v>42</v>
      </c>
      <c r="H5" s="3" t="s">
        <v>49</v>
      </c>
      <c r="I5" s="3" t="s">
        <v>65</v>
      </c>
    </row>
    <row r="6" spans="1:9" s="8" customFormat="1" x14ac:dyDescent="0.25">
      <c r="A6" s="8" t="s">
        <v>66</v>
      </c>
      <c r="B6" s="8" t="s">
        <v>67</v>
      </c>
      <c r="C6" s="8" t="s">
        <v>68</v>
      </c>
      <c r="D6" s="8" t="s">
        <v>29</v>
      </c>
      <c r="E6" s="8" t="s">
        <v>22</v>
      </c>
      <c r="F6" s="8" t="s">
        <v>69</v>
      </c>
      <c r="G6" s="8" t="s">
        <v>42</v>
      </c>
      <c r="H6" s="8" t="s">
        <v>49</v>
      </c>
      <c r="I6" s="8" t="s">
        <v>70</v>
      </c>
    </row>
    <row r="7" spans="1:9" s="3" customFormat="1" x14ac:dyDescent="0.25">
      <c r="A7" s="3" t="s">
        <v>71</v>
      </c>
      <c r="B7" s="3" t="s">
        <v>72</v>
      </c>
      <c r="C7" s="3" t="s">
        <v>73</v>
      </c>
      <c r="D7" s="3" t="s">
        <v>25</v>
      </c>
      <c r="E7" s="3" t="s">
        <v>18</v>
      </c>
      <c r="F7" s="3" t="s">
        <v>74</v>
      </c>
      <c r="G7" s="3" t="s">
        <v>42</v>
      </c>
      <c r="H7" s="3" t="s">
        <v>49</v>
      </c>
      <c r="I7" s="3" t="s">
        <v>75</v>
      </c>
    </row>
    <row r="8" spans="1:9" s="8" customFormat="1" x14ac:dyDescent="0.25">
      <c r="A8" s="8" t="s">
        <v>76</v>
      </c>
      <c r="B8" s="8" t="s">
        <v>77</v>
      </c>
      <c r="C8" s="8" t="s">
        <v>78</v>
      </c>
      <c r="D8" s="8" t="s">
        <v>27</v>
      </c>
      <c r="E8" s="8" t="s">
        <v>20</v>
      </c>
      <c r="F8" s="8" t="s">
        <v>79</v>
      </c>
      <c r="G8" s="8" t="s">
        <v>42</v>
      </c>
      <c r="H8" s="8" t="s">
        <v>49</v>
      </c>
      <c r="I8" s="8" t="s">
        <v>80</v>
      </c>
    </row>
    <row r="9" spans="1:9" s="3" customFormat="1" x14ac:dyDescent="0.25">
      <c r="A9" s="3" t="s">
        <v>81</v>
      </c>
      <c r="B9" s="3" t="s">
        <v>82</v>
      </c>
      <c r="C9" s="3" t="s">
        <v>83</v>
      </c>
      <c r="D9" s="3" t="s">
        <v>25</v>
      </c>
      <c r="E9" s="3" t="s">
        <v>18</v>
      </c>
      <c r="F9" s="3" t="s">
        <v>84</v>
      </c>
      <c r="G9" s="3" t="s">
        <v>42</v>
      </c>
      <c r="H9" s="3" t="s">
        <v>49</v>
      </c>
      <c r="I9" s="3" t="s">
        <v>85</v>
      </c>
    </row>
    <row r="10" spans="1:9" s="8" customFormat="1" x14ac:dyDescent="0.25">
      <c r="A10" s="8" t="s">
        <v>86</v>
      </c>
      <c r="B10" s="8" t="s">
        <v>87</v>
      </c>
      <c r="C10" s="8" t="s">
        <v>88</v>
      </c>
      <c r="D10" s="8" t="s">
        <v>25</v>
      </c>
      <c r="E10" s="8" t="s">
        <v>20</v>
      </c>
      <c r="F10" s="8" t="s">
        <v>89</v>
      </c>
      <c r="G10" s="8" t="s">
        <v>42</v>
      </c>
      <c r="H10" s="8" t="s">
        <v>49</v>
      </c>
      <c r="I10" s="8" t="s">
        <v>90</v>
      </c>
    </row>
    <row r="11" spans="1:9" s="3" customFormat="1" x14ac:dyDescent="0.25">
      <c r="A11" s="3" t="s">
        <v>91</v>
      </c>
      <c r="B11" s="3" t="s">
        <v>92</v>
      </c>
      <c r="C11" s="3" t="s">
        <v>93</v>
      </c>
      <c r="D11" s="3" t="s">
        <v>29</v>
      </c>
      <c r="E11" s="3" t="s">
        <v>22</v>
      </c>
      <c r="F11" s="3" t="s">
        <v>94</v>
      </c>
      <c r="G11" s="3" t="s">
        <v>42</v>
      </c>
      <c r="H11" s="3" t="s">
        <v>49</v>
      </c>
      <c r="I11" s="3" t="s">
        <v>70</v>
      </c>
    </row>
    <row r="12" spans="1:9" s="8" customFormat="1" x14ac:dyDescent="0.25">
      <c r="A12" s="8" t="s">
        <v>95</v>
      </c>
      <c r="B12" s="8" t="s">
        <v>96</v>
      </c>
      <c r="C12" s="8" t="s">
        <v>97</v>
      </c>
      <c r="D12" s="8" t="s">
        <v>25</v>
      </c>
      <c r="E12" s="8" t="s">
        <v>18</v>
      </c>
      <c r="F12" s="8" t="s">
        <v>98</v>
      </c>
      <c r="G12" s="8" t="s">
        <v>42</v>
      </c>
      <c r="H12" s="8" t="s">
        <v>49</v>
      </c>
      <c r="I12" s="8" t="s">
        <v>99</v>
      </c>
    </row>
    <row r="13" spans="1:9" s="3" customFormat="1" x14ac:dyDescent="0.25">
      <c r="A13" s="3" t="s">
        <v>100</v>
      </c>
      <c r="B13" s="3" t="s">
        <v>101</v>
      </c>
      <c r="C13" s="3" t="s">
        <v>102</v>
      </c>
      <c r="D13" s="3" t="s">
        <v>25</v>
      </c>
      <c r="E13" s="3" t="s">
        <v>18</v>
      </c>
      <c r="F13" s="3" t="s">
        <v>103</v>
      </c>
      <c r="G13" s="3" t="s">
        <v>42</v>
      </c>
      <c r="H13" s="3" t="s">
        <v>49</v>
      </c>
      <c r="I13" s="3" t="s">
        <v>104</v>
      </c>
    </row>
    <row r="14" spans="1:9" s="8" customFormat="1" x14ac:dyDescent="0.25">
      <c r="A14" s="8" t="s">
        <v>105</v>
      </c>
      <c r="B14" s="8" t="s">
        <v>106</v>
      </c>
      <c r="C14" s="8" t="s">
        <v>107</v>
      </c>
      <c r="D14" s="8" t="s">
        <v>25</v>
      </c>
      <c r="E14" s="8" t="s">
        <v>18</v>
      </c>
      <c r="F14" s="8" t="s">
        <v>108</v>
      </c>
      <c r="G14" s="8" t="s">
        <v>42</v>
      </c>
      <c r="H14" s="8" t="s">
        <v>49</v>
      </c>
      <c r="I14" s="8" t="s">
        <v>109</v>
      </c>
    </row>
    <row r="15" spans="1:9" s="3" customFormat="1" x14ac:dyDescent="0.25">
      <c r="A15" s="3" t="s">
        <v>110</v>
      </c>
      <c r="B15" s="3" t="s">
        <v>111</v>
      </c>
      <c r="C15" s="3" t="s">
        <v>112</v>
      </c>
      <c r="D15" s="3" t="s">
        <v>25</v>
      </c>
      <c r="E15" s="3" t="s">
        <v>20</v>
      </c>
      <c r="F15" s="3" t="s">
        <v>113</v>
      </c>
      <c r="G15" s="3" t="s">
        <v>42</v>
      </c>
      <c r="H15" s="3" t="s">
        <v>114</v>
      </c>
      <c r="I15" s="3" t="s">
        <v>115</v>
      </c>
    </row>
    <row r="16" spans="1:9" s="8" customFormat="1" x14ac:dyDescent="0.25">
      <c r="A16" s="8" t="s">
        <v>116</v>
      </c>
      <c r="B16" s="8" t="s">
        <v>117</v>
      </c>
      <c r="C16" s="8" t="s">
        <v>118</v>
      </c>
      <c r="D16" s="8" t="s">
        <v>25</v>
      </c>
      <c r="E16" s="8" t="s">
        <v>18</v>
      </c>
      <c r="F16" s="8" t="s">
        <v>119</v>
      </c>
      <c r="G16" s="8" t="s">
        <v>42</v>
      </c>
      <c r="H16" s="8" t="s">
        <v>49</v>
      </c>
      <c r="I16" s="8" t="s">
        <v>120</v>
      </c>
    </row>
    <row r="17" spans="1:9" s="3" customFormat="1" x14ac:dyDescent="0.25">
      <c r="A17" s="3" t="s">
        <v>121</v>
      </c>
      <c r="B17" s="3" t="s">
        <v>122</v>
      </c>
      <c r="C17" s="3" t="s">
        <v>123</v>
      </c>
      <c r="D17" s="3" t="s">
        <v>27</v>
      </c>
      <c r="E17" s="3" t="s">
        <v>20</v>
      </c>
      <c r="F17" s="3" t="s">
        <v>124</v>
      </c>
      <c r="G17" s="3" t="s">
        <v>42</v>
      </c>
      <c r="H17" s="3" t="s">
        <v>49</v>
      </c>
      <c r="I17" s="3" t="s">
        <v>125</v>
      </c>
    </row>
    <row r="18" spans="1:9" s="8" customFormat="1" x14ac:dyDescent="0.25">
      <c r="A18" s="8" t="s">
        <v>126</v>
      </c>
      <c r="B18" s="8" t="s">
        <v>127</v>
      </c>
      <c r="C18" s="8" t="s">
        <v>128</v>
      </c>
      <c r="D18" s="8" t="s">
        <v>27</v>
      </c>
      <c r="E18" s="8" t="s">
        <v>22</v>
      </c>
      <c r="F18" s="8" t="s">
        <v>129</v>
      </c>
      <c r="G18" s="8" t="s">
        <v>42</v>
      </c>
      <c r="H18" s="8" t="s">
        <v>49</v>
      </c>
      <c r="I18" s="8" t="s">
        <v>130</v>
      </c>
    </row>
    <row r="19" spans="1:9" s="3" customFormat="1" x14ac:dyDescent="0.25">
      <c r="A19" s="3" t="s">
        <v>131</v>
      </c>
      <c r="B19" s="3" t="s">
        <v>37</v>
      </c>
      <c r="C19" s="3" t="s">
        <v>132</v>
      </c>
      <c r="D19" s="3" t="s">
        <v>25</v>
      </c>
      <c r="E19" s="3" t="s">
        <v>20</v>
      </c>
      <c r="F19" s="3" t="s">
        <v>133</v>
      </c>
      <c r="G19" s="3" t="s">
        <v>42</v>
      </c>
      <c r="H19" s="3" t="s">
        <v>134</v>
      </c>
      <c r="I19" s="3" t="s">
        <v>135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42" customWidth="1"/>
    <col min="2" max="2" width="22" customWidth="1"/>
  </cols>
  <sheetData>
    <row r="1" spans="1:2" s="4" customFormat="1" x14ac:dyDescent="0.25">
      <c r="A1" s="4" t="s">
        <v>136</v>
      </c>
      <c r="B1" s="4" t="s">
        <v>137</v>
      </c>
    </row>
    <row r="2" spans="1:2" x14ac:dyDescent="0.25">
      <c r="A2" t="s">
        <v>138</v>
      </c>
      <c r="B2" s="5">
        <f>COUNTA('DPDP Tracker'!A2:A200)</f>
      </c>
    </row>
    <row r="3" spans="1:2" x14ac:dyDescent="0.25">
      <c r="A3" t="s">
        <v>18</v>
      </c>
      <c r="B3" s="5">
        <f>COUNTIF('DPDP Tracker'!E2:E200,"Done")</f>
      </c>
    </row>
    <row r="4" spans="1:2" x14ac:dyDescent="0.25">
      <c r="A4" t="s">
        <v>20</v>
      </c>
      <c r="B4" s="5">
        <f>COUNTIF('DPDP Tracker'!E2:E200,"Partial")</f>
      </c>
    </row>
    <row r="5" spans="1:2" x14ac:dyDescent="0.25">
      <c r="A5" t="s">
        <v>139</v>
      </c>
      <c r="B5" s="5">
        <f>COUNTIF('DPDP Tracker'!E2:E200,"Not Started")</f>
      </c>
    </row>
    <row r="6" spans="1:2" x14ac:dyDescent="0.25">
      <c r="A6" t="s">
        <v>140</v>
      </c>
      <c r="B6" s="5">
        <f>COUNTIF('DPDP Tracker'!D2:D200,"Applicable")</f>
      </c>
    </row>
    <row r="7" spans="1:2" x14ac:dyDescent="0.25">
      <c r="A7" t="s">
        <v>141</v>
      </c>
      <c r="B7" s="5">
        <f>ROUND(COUNTIF('DPDP Tracker'!E2:E200,"Done")/COUNTA('DPDP Tracker'!A2:A200)*100,1)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Legend</vt:lpstr>
      <vt:lpstr>DPDP Tracker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2026-08-01T04:06:39Z</dcterms:created>
  <dcterms:modified xsi:type="dcterms:W3CDTF">2026-08-01T04:06:39Z</dcterms:modified>
</cp:coreProperties>
</file>