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Code Regist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<sst xmlns="http://schemas.openxmlformats.org/spreadsheetml/2006/main" count="232" uniqueCount="138">
  <si>
    <t>PulseDesk — Code Register</t>
  </si>
  <si>
    <t>Document ID</t>
  </si>
  <si>
    <t>PD-CR-001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</si>
  <si>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</si>
  <si>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</si>
  <si>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</si>
  <si>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</si>
  <si>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</si>
  <si>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</si>
  <si>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</si>
  <si>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</si>
  <si>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</si>
  <si>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PD-RTM-001, PD-SDD-001</t>
  </si>
  <si>
    <t>Classification</t>
  </si>
  <si>
    <t>Internal</t>
  </si>
  <si>
    <t>Revision note</t>
  </si>
  <si>
    <t>v1.0 — initial baseline issued with the first working build.</t>
  </si>
  <si>
    <t>Layer</t>
  </si>
  <si>
    <t/>
  </si>
  <si>
    <t>Main process</t>
  </si>
  <si>
    <t>Runs in Electron main — has Node and OS access</t>
  </si>
  <si>
    <t>Bridge</t>
  </si>
  <si>
    <t>contextBridge surface between main and renderer</t>
  </si>
  <si>
    <t>Service</t>
  </si>
  <si>
    <t>Data acquisition and computation modules</t>
  </si>
  <si>
    <t>Renderer</t>
  </si>
  <si>
    <t>Sandboxed UI</t>
  </si>
  <si>
    <t>Tooling</t>
  </si>
  <si>
    <t>Developer utilities, not shipped in the packaged app</t>
  </si>
  <si>
    <t>Config</t>
  </si>
  <si>
    <t>Manifests and launch configuration</t>
  </si>
  <si>
    <t>Docs</t>
  </si>
  <si>
    <t>Documentation artefacts</t>
  </si>
  <si>
    <t>Done</t>
  </si>
  <si>
    <t>Implemented and verified against live data</t>
  </si>
  <si>
    <t>WIP</t>
  </si>
  <si>
    <t>In progress</t>
  </si>
  <si>
    <t>Planned</t>
  </si>
  <si>
    <t>Designed, not yet written</t>
  </si>
  <si>
    <t>Rule</t>
  </si>
  <si>
    <t>Order of work</t>
  </si>
  <si>
    <t>Check this register before opening source files</t>
  </si>
  <si>
    <t>Update cadence</t>
  </si>
  <si>
    <t>A row is added or amended in the same turn as the file it describes</t>
  </si>
  <si>
    <t>File Path</t>
  </si>
  <si>
    <t>Purpose</t>
  </si>
  <si>
    <t>Route/Policy</t>
  </si>
  <si>
    <t>Key Data Stores</t>
  </si>
  <si>
    <t>RTM Req ID</t>
  </si>
  <si>
    <t>Design Ref (SDD §)</t>
  </si>
  <si>
    <t>package.json</t>
  </si>
  <si>
    <t>Manifest, scripts and electron-builder packaging targets</t>
  </si>
  <si>
    <t>—</t>
  </si>
  <si>
    <t>NFR-005, NFR-009</t>
  </si>
  <si>
    <t>SDD §2.2</t>
  </si>
  <si>
    <t>main.js</t>
  </si>
  <si>
    <t>Window lifecycle, tray, global shortcuts, IPC surface, tiered refresh orchestration</t>
  </si>
  <si>
    <t>IPC: data:*, portfolio:*, settings:*, win:*</t>
  </si>
  <si>
    <t>settings.json</t>
  </si>
  <si>
    <t>FUN-025..FUN-029, SEC-004, SEC-005</t>
  </si>
  <si>
    <t>SDD §3</t>
  </si>
  <si>
    <t>preload.js</t>
  </si>
  <si>
    <t>contextBridge API exposed to the renderer as window.pulse</t>
  </si>
  <si>
    <t>IPC allowlist</t>
  </si>
  <si>
    <t>SEC-001</t>
  </si>
  <si>
    <t>SDD §6.1</t>
  </si>
  <si>
    <t>src/services/http.js</t>
  </si>
  <si>
    <t>fetch wrapper with abort timeout, TTL cache with stale fallback, bounded-concurrency pool</t>
  </si>
  <si>
    <t>NFR-003, NFR-004, SEC-009</t>
  </si>
  <si>
    <t>SDD §3.7</t>
  </si>
  <si>
    <t>src/services/stocks.js</t>
  </si>
  <si>
    <t>Yahoo chart normalisation, Stooq fallback, index basket, FX cross, hype scoring</t>
  </si>
  <si>
    <t>FUN-001..FUN-003, FUN-008, FUN-020, NFR-010</t>
  </si>
  <si>
    <t>SDD §4.1, §4.2</t>
  </si>
  <si>
    <t>src/services/sentiment.js</t>
  </si>
  <si>
    <t>Market-headline lexicon with negation, hedging and percentage weighting</t>
  </si>
  <si>
    <t>FUN-013</t>
  </si>
  <si>
    <t>SDD §4.4</t>
  </si>
  <si>
    <t>src/services/news.js</t>
  </si>
  <si>
    <t>RSS/Atom fetch and parse, entity repair, de-duplication, ticker extraction, ranking</t>
  </si>
  <si>
    <t>FUN-012, FUN-014, SEC-003</t>
  </si>
  <si>
    <t>SDD §4.3</t>
  </si>
  <si>
    <t>src/services/crypto.js</t>
  </si>
  <si>
    <t>Binance 5-hour rolling-window ranking, CoinGecko fallback, Fear &amp; Greed, global stats</t>
  </si>
  <si>
    <t>FUN-017..FUN-019, NFR-010</t>
  </si>
  <si>
    <t>SDD §4.6</t>
  </si>
  <si>
    <t>src/services/weather.js</t>
  </si>
  <si>
    <t>IP geolocation chain, Open-Meteo forecast, air quality, weather-code mapping</t>
  </si>
  <si>
    <t>FUN-023, FUN-024</t>
  </si>
  <si>
    <t>SDD §4.8</t>
  </si>
  <si>
    <t>src/services/portfolio.js</t>
  </si>
  <si>
    <t>JSON store, weighted-average merge, valuation, realised/unrealised P&amp;L, daily snapshots</t>
  </si>
  <si>
    <t>portfolio.json, history.json</t>
  </si>
  <si>
    <t>FUN-004..FUN-011, SEC-007</t>
  </si>
  <si>
    <t>SDD §4.5</t>
  </si>
  <si>
    <t>src/services/market.js</t>
  </si>
  <si>
    <t>Exchange session clocks, breadth calculation, composite pulse score</t>
  </si>
  <si>
    <t>FUN-021, FUN-022</t>
  </si>
  <si>
    <t>SDD §4.7</t>
  </si>
  <si>
    <t>src/services/icon.js</t>
  </si>
  <si>
    <t>Dependency-free RGBA PNG encoder used for the tray and window icon</t>
  </si>
  <si>
    <t>FUN-026</t>
  </si>
  <si>
    <t>SDD §3.3</t>
  </si>
  <si>
    <t>src/renderer/index.html</t>
  </si>
  <si>
    <t>Dashboard markup, CSP declaration, modal shells</t>
  </si>
  <si>
    <t>SEC-002, NFR-006</t>
  </si>
  <si>
    <t>SDD §5.1</t>
  </si>
  <si>
    <t>src/renderer/styles.css</t>
  </si>
  <si>
    <t>Glass finance theme, fixed-height card grid, responsive and compact layouts</t>
  </si>
  <si>
    <t>FUN-031, NFR-006, NFR-007</t>
  </si>
  <si>
    <t>SDD §5.2</t>
  </si>
  <si>
    <t>src/renderer/app.js</t>
  </si>
  <si>
    <t>Formatting helpers, SVG sparkline/donut builders, section renderers, event wiring</t>
  </si>
  <si>
    <t>FUN-009, FUN-015, FUN-030, SEC-003</t>
  </si>
  <si>
    <t>SDD §5.3</t>
  </si>
  <si>
    <t>tools/preview-server.js</t>
  </si>
  <si>
    <t>Localhost static server for renderer iteration outside Electron</t>
  </si>
  <si>
    <t>http://localhost:5173</t>
  </si>
  <si>
    <t>SEC-010</t>
  </si>
  <si>
    <t>SDD §7.2</t>
  </si>
  <si>
    <t>tools/docs/content.js</t>
  </si>
  <si>
    <t>Content tables backing the generated document set</t>
  </si>
  <si>
    <t>SDD §7.3</t>
  </si>
  <si>
    <t>tools/gen-docs.js</t>
  </si>
  <si>
    <t>Generates the docx and xlsx documents from content.js</t>
  </si>
  <si>
    <t>.claude/launch.json</t>
  </si>
  <si>
    <t>Preview server launch configuration</t>
  </si>
  <si>
    <t>README.md</t>
  </si>
  <si>
    <t>Project handbook and document index</t>
  </si>
  <si>
    <t>SDD §1</t>
  </si>
  <si>
    <t>Metric</t>
  </si>
  <si>
    <t>Value</t>
  </si>
  <si>
    <t>Files registered</t>
  </si>
  <si>
    <t>Service modules</t>
  </si>
  <si>
    <t>Renderer files</t>
  </si>
  <si>
    <t>Tooling files</t>
  </si>
  <si>
    <t>Files complete</t>
  </si>
  <si>
    <t>Percent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</si>
</sst>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6" spans="1:3" x14ac:dyDescent="0.25">
      <c r="A6" t="s">
        <v>18</v>
      </c>
      <c r="B6" s="5" t="s">
        <v>27</v>
      </c>
      <c r="C6" s="6" t="s">
        <v>28</v>
      </c>
    </row>
    <row r="7" spans="1:3" x14ac:dyDescent="0.25">
      <c r="A7" t="s">
        <v>18</v>
      </c>
      <c r="B7" s="5" t="s">
        <v>29</v>
      </c>
      <c r="C7" s="6" t="s">
        <v>30</v>
      </c>
    </row>
    <row r="8" spans="1:3" x14ac:dyDescent="0.25">
      <c r="A8" t="s">
        <v>18</v>
      </c>
      <c r="B8" s="5" t="s">
        <v>31</v>
      </c>
      <c r="C8" s="6" t="s">
        <v>32</v>
      </c>
    </row>
    <row r="10" spans="1:1" x14ac:dyDescent="0.25">
      <c r="A10" s="4" t="s">
        <v>9</v>
      </c>
    </row>
    <row r="11" spans="1:3" x14ac:dyDescent="0.25">
      <c r="A11" t="s">
        <v>18</v>
      </c>
      <c r="B11" s="5" t="s">
        <v>33</v>
      </c>
      <c r="C11" s="6" t="s">
        <v>34</v>
      </c>
    </row>
    <row r="12" spans="1:3" x14ac:dyDescent="0.25">
      <c r="A12" t="s">
        <v>18</v>
      </c>
      <c r="B12" s="5" t="s">
        <v>35</v>
      </c>
      <c r="C12" s="6" t="s">
        <v>36</v>
      </c>
    </row>
    <row r="13" spans="1:3" x14ac:dyDescent="0.25">
      <c r="A13" t="s">
        <v>18</v>
      </c>
      <c r="B13" s="5" t="s">
        <v>37</v>
      </c>
      <c r="C13" s="6" t="s">
        <v>38</v>
      </c>
    </row>
    <row r="15" spans="1:1" x14ac:dyDescent="0.25">
      <c r="A15" s="4" t="s">
        <v>39</v>
      </c>
    </row>
    <row r="16" spans="1:3" x14ac:dyDescent="0.25">
      <c r="A16" t="s">
        <v>18</v>
      </c>
      <c r="B16" s="5" t="s">
        <v>40</v>
      </c>
      <c r="C16" s="6" t="s">
        <v>41</v>
      </c>
    </row>
    <row r="17" spans="1:3" x14ac:dyDescent="0.25">
      <c r="A17" t="s">
        <v>18</v>
      </c>
      <c r="B17" s="5" t="s">
        <v>42</v>
      </c>
      <c r="C17" s="6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5" customWidth="1"/>
    <col min="3" max="3" width="68" customWidth="1"/>
    <col min="4" max="4" width="30" customWidth="1"/>
    <col min="5" max="5" width="26" customWidth="1"/>
    <col min="6" max="6" width="40" customWidth="1"/>
    <col min="7" max="7" width="18" customWidth="1"/>
    <col min="8" max="8" width="10" customWidth="1"/>
  </cols>
  <sheetData>
    <row r="1" ht="30" customHeight="1" spans="1:8" s="7" customFormat="1" x14ac:dyDescent="0.25">
      <c r="A1" s="7" t="s">
        <v>44</v>
      </c>
      <c r="B1" s="7" t="s">
        <v>17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9</v>
      </c>
    </row>
    <row r="2" spans="1:8" s="8" customFormat="1" x14ac:dyDescent="0.25">
      <c r="A2" s="8" t="s">
        <v>50</v>
      </c>
      <c r="B2" s="8" t="s">
        <v>29</v>
      </c>
      <c r="C2" s="8" t="s">
        <v>51</v>
      </c>
      <c r="D2" s="8" t="s">
        <v>52</v>
      </c>
      <c r="E2" s="8" t="s">
        <v>52</v>
      </c>
      <c r="F2" s="8" t="s">
        <v>53</v>
      </c>
      <c r="G2" s="8" t="s">
        <v>54</v>
      </c>
      <c r="H2" s="8" t="s">
        <v>33</v>
      </c>
    </row>
    <row r="3" spans="1:8" s="3" customFormat="1" x14ac:dyDescent="0.25">
      <c r="A3" s="3" t="s">
        <v>55</v>
      </c>
      <c r="B3" s="3" t="s">
        <v>19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33</v>
      </c>
    </row>
    <row r="4" spans="1:8" s="8" customFormat="1" x14ac:dyDescent="0.25">
      <c r="A4" s="8" t="s">
        <v>61</v>
      </c>
      <c r="B4" s="8" t="s">
        <v>21</v>
      </c>
      <c r="C4" s="8" t="s">
        <v>62</v>
      </c>
      <c r="D4" s="8" t="s">
        <v>63</v>
      </c>
      <c r="E4" s="8" t="s">
        <v>52</v>
      </c>
      <c r="F4" s="8" t="s">
        <v>64</v>
      </c>
      <c r="G4" s="8" t="s">
        <v>65</v>
      </c>
      <c r="H4" s="8" t="s">
        <v>33</v>
      </c>
    </row>
    <row r="5" spans="1:8" s="3" customFormat="1" x14ac:dyDescent="0.25">
      <c r="A5" s="3" t="s">
        <v>66</v>
      </c>
      <c r="B5" s="3" t="s">
        <v>23</v>
      </c>
      <c r="C5" s="3" t="s">
        <v>67</v>
      </c>
      <c r="D5" s="3" t="s">
        <v>52</v>
      </c>
      <c r="E5" s="3" t="s">
        <v>52</v>
      </c>
      <c r="F5" s="3" t="s">
        <v>68</v>
      </c>
      <c r="G5" s="3" t="s">
        <v>69</v>
      </c>
      <c r="H5" s="3" t="s">
        <v>33</v>
      </c>
    </row>
    <row r="6" spans="1:8" s="8" customFormat="1" x14ac:dyDescent="0.25">
      <c r="A6" s="8" t="s">
        <v>70</v>
      </c>
      <c r="B6" s="8" t="s">
        <v>23</v>
      </c>
      <c r="C6" s="8" t="s">
        <v>71</v>
      </c>
      <c r="D6" s="8" t="s">
        <v>52</v>
      </c>
      <c r="E6" s="8" t="s">
        <v>52</v>
      </c>
      <c r="F6" s="8" t="s">
        <v>72</v>
      </c>
      <c r="G6" s="8" t="s">
        <v>73</v>
      </c>
      <c r="H6" s="8" t="s">
        <v>33</v>
      </c>
    </row>
    <row r="7" spans="1:8" s="3" customFormat="1" x14ac:dyDescent="0.25">
      <c r="A7" s="3" t="s">
        <v>74</v>
      </c>
      <c r="B7" s="3" t="s">
        <v>23</v>
      </c>
      <c r="C7" s="3" t="s">
        <v>75</v>
      </c>
      <c r="D7" s="3" t="s">
        <v>52</v>
      </c>
      <c r="E7" s="3" t="s">
        <v>52</v>
      </c>
      <c r="F7" s="3" t="s">
        <v>76</v>
      </c>
      <c r="G7" s="3" t="s">
        <v>77</v>
      </c>
      <c r="H7" s="3" t="s">
        <v>33</v>
      </c>
    </row>
    <row r="8" spans="1:8" s="8" customFormat="1" x14ac:dyDescent="0.25">
      <c r="A8" s="8" t="s">
        <v>78</v>
      </c>
      <c r="B8" s="8" t="s">
        <v>23</v>
      </c>
      <c r="C8" s="8" t="s">
        <v>79</v>
      </c>
      <c r="D8" s="8" t="s">
        <v>52</v>
      </c>
      <c r="E8" s="8" t="s">
        <v>52</v>
      </c>
      <c r="F8" s="8" t="s">
        <v>80</v>
      </c>
      <c r="G8" s="8" t="s">
        <v>81</v>
      </c>
      <c r="H8" s="8" t="s">
        <v>33</v>
      </c>
    </row>
    <row r="9" spans="1:8" s="3" customFormat="1" x14ac:dyDescent="0.25">
      <c r="A9" s="3" t="s">
        <v>82</v>
      </c>
      <c r="B9" s="3" t="s">
        <v>23</v>
      </c>
      <c r="C9" s="3" t="s">
        <v>83</v>
      </c>
      <c r="D9" s="3" t="s">
        <v>52</v>
      </c>
      <c r="E9" s="3" t="s">
        <v>52</v>
      </c>
      <c r="F9" s="3" t="s">
        <v>84</v>
      </c>
      <c r="G9" s="3" t="s">
        <v>85</v>
      </c>
      <c r="H9" s="3" t="s">
        <v>33</v>
      </c>
    </row>
    <row r="10" spans="1:8" s="8" customFormat="1" x14ac:dyDescent="0.25">
      <c r="A10" s="8" t="s">
        <v>86</v>
      </c>
      <c r="B10" s="8" t="s">
        <v>23</v>
      </c>
      <c r="C10" s="8" t="s">
        <v>87</v>
      </c>
      <c r="D10" s="8" t="s">
        <v>52</v>
      </c>
      <c r="E10" s="8" t="s">
        <v>52</v>
      </c>
      <c r="F10" s="8" t="s">
        <v>88</v>
      </c>
      <c r="G10" s="8" t="s">
        <v>89</v>
      </c>
      <c r="H10" s="8" t="s">
        <v>33</v>
      </c>
    </row>
    <row r="11" spans="1:8" s="3" customFormat="1" x14ac:dyDescent="0.25">
      <c r="A11" s="3" t="s">
        <v>90</v>
      </c>
      <c r="B11" s="3" t="s">
        <v>23</v>
      </c>
      <c r="C11" s="3" t="s">
        <v>91</v>
      </c>
      <c r="D11" s="3" t="s">
        <v>52</v>
      </c>
      <c r="E11" s="3" t="s">
        <v>92</v>
      </c>
      <c r="F11" s="3" t="s">
        <v>93</v>
      </c>
      <c r="G11" s="3" t="s">
        <v>94</v>
      </c>
      <c r="H11" s="3" t="s">
        <v>33</v>
      </c>
    </row>
    <row r="12" spans="1:8" s="8" customFormat="1" x14ac:dyDescent="0.25">
      <c r="A12" s="8" t="s">
        <v>95</v>
      </c>
      <c r="B12" s="8" t="s">
        <v>23</v>
      </c>
      <c r="C12" s="8" t="s">
        <v>96</v>
      </c>
      <c r="D12" s="8" t="s">
        <v>52</v>
      </c>
      <c r="E12" s="8" t="s">
        <v>52</v>
      </c>
      <c r="F12" s="8" t="s">
        <v>97</v>
      </c>
      <c r="G12" s="8" t="s">
        <v>98</v>
      </c>
      <c r="H12" s="8" t="s">
        <v>33</v>
      </c>
    </row>
    <row r="13" spans="1:8" s="3" customFormat="1" x14ac:dyDescent="0.25">
      <c r="A13" s="3" t="s">
        <v>99</v>
      </c>
      <c r="B13" s="3" t="s">
        <v>23</v>
      </c>
      <c r="C13" s="3" t="s">
        <v>100</v>
      </c>
      <c r="D13" s="3" t="s">
        <v>52</v>
      </c>
      <c r="E13" s="3" t="s">
        <v>52</v>
      </c>
      <c r="F13" s="3" t="s">
        <v>101</v>
      </c>
      <c r="G13" s="3" t="s">
        <v>102</v>
      </c>
      <c r="H13" s="3" t="s">
        <v>33</v>
      </c>
    </row>
    <row r="14" spans="1:8" s="8" customFormat="1" x14ac:dyDescent="0.25">
      <c r="A14" s="8" t="s">
        <v>103</v>
      </c>
      <c r="B14" s="8" t="s">
        <v>25</v>
      </c>
      <c r="C14" s="8" t="s">
        <v>104</v>
      </c>
      <c r="D14" s="8" t="s">
        <v>52</v>
      </c>
      <c r="E14" s="8" t="s">
        <v>52</v>
      </c>
      <c r="F14" s="8" t="s">
        <v>105</v>
      </c>
      <c r="G14" s="8" t="s">
        <v>106</v>
      </c>
      <c r="H14" s="8" t="s">
        <v>33</v>
      </c>
    </row>
    <row r="15" spans="1:8" s="3" customFormat="1" x14ac:dyDescent="0.25">
      <c r="A15" s="3" t="s">
        <v>107</v>
      </c>
      <c r="B15" s="3" t="s">
        <v>25</v>
      </c>
      <c r="C15" s="3" t="s">
        <v>108</v>
      </c>
      <c r="D15" s="3" t="s">
        <v>52</v>
      </c>
      <c r="E15" s="3" t="s">
        <v>52</v>
      </c>
      <c r="F15" s="3" t="s">
        <v>109</v>
      </c>
      <c r="G15" s="3" t="s">
        <v>110</v>
      </c>
      <c r="H15" s="3" t="s">
        <v>33</v>
      </c>
    </row>
    <row r="16" spans="1:8" s="8" customFormat="1" x14ac:dyDescent="0.25">
      <c r="A16" s="8" t="s">
        <v>111</v>
      </c>
      <c r="B16" s="8" t="s">
        <v>25</v>
      </c>
      <c r="C16" s="8" t="s">
        <v>112</v>
      </c>
      <c r="D16" s="8" t="s">
        <v>52</v>
      </c>
      <c r="E16" s="8" t="s">
        <v>52</v>
      </c>
      <c r="F16" s="8" t="s">
        <v>113</v>
      </c>
      <c r="G16" s="8" t="s">
        <v>114</v>
      </c>
      <c r="H16" s="8" t="s">
        <v>33</v>
      </c>
    </row>
    <row r="17" spans="1:8" s="3" customFormat="1" x14ac:dyDescent="0.25">
      <c r="A17" s="3" t="s">
        <v>115</v>
      </c>
      <c r="B17" s="3" t="s">
        <v>27</v>
      </c>
      <c r="C17" s="3" t="s">
        <v>116</v>
      </c>
      <c r="D17" s="3" t="s">
        <v>117</v>
      </c>
      <c r="E17" s="3" t="s">
        <v>52</v>
      </c>
      <c r="F17" s="3" t="s">
        <v>118</v>
      </c>
      <c r="G17" s="3" t="s">
        <v>119</v>
      </c>
      <c r="H17" s="3" t="s">
        <v>33</v>
      </c>
    </row>
    <row r="18" spans="1:8" s="8" customFormat="1" x14ac:dyDescent="0.25">
      <c r="A18" s="8" t="s">
        <v>120</v>
      </c>
      <c r="B18" s="8" t="s">
        <v>27</v>
      </c>
      <c r="C18" s="8" t="s">
        <v>121</v>
      </c>
      <c r="D18" s="8" t="s">
        <v>52</v>
      </c>
      <c r="E18" s="8" t="s">
        <v>52</v>
      </c>
      <c r="F18" s="8" t="s">
        <v>52</v>
      </c>
      <c r="G18" s="8" t="s">
        <v>122</v>
      </c>
      <c r="H18" s="8" t="s">
        <v>33</v>
      </c>
    </row>
    <row r="19" spans="1:8" s="3" customFormat="1" x14ac:dyDescent="0.25">
      <c r="A19" s="3" t="s">
        <v>123</v>
      </c>
      <c r="B19" s="3" t="s">
        <v>27</v>
      </c>
      <c r="C19" s="3" t="s">
        <v>124</v>
      </c>
      <c r="D19" s="3" t="s">
        <v>52</v>
      </c>
      <c r="E19" s="3" t="s">
        <v>52</v>
      </c>
      <c r="F19" s="3" t="s">
        <v>52</v>
      </c>
      <c r="G19" s="3" t="s">
        <v>122</v>
      </c>
      <c r="H19" s="3" t="s">
        <v>33</v>
      </c>
    </row>
    <row r="20" spans="1:8" s="8" customFormat="1" x14ac:dyDescent="0.25">
      <c r="A20" s="8" t="s">
        <v>125</v>
      </c>
      <c r="B20" s="8" t="s">
        <v>29</v>
      </c>
      <c r="C20" s="8" t="s">
        <v>126</v>
      </c>
      <c r="D20" s="8" t="s">
        <v>52</v>
      </c>
      <c r="E20" s="8" t="s">
        <v>52</v>
      </c>
      <c r="F20" s="8" t="s">
        <v>52</v>
      </c>
      <c r="G20" s="8" t="s">
        <v>119</v>
      </c>
      <c r="H20" s="8" t="s">
        <v>33</v>
      </c>
    </row>
    <row r="21" spans="1:8" s="3" customFormat="1" x14ac:dyDescent="0.25">
      <c r="A21" s="3" t="s">
        <v>127</v>
      </c>
      <c r="B21" s="3" t="s">
        <v>31</v>
      </c>
      <c r="C21" s="3" t="s">
        <v>128</v>
      </c>
      <c r="D21" s="3" t="s">
        <v>52</v>
      </c>
      <c r="E21" s="3" t="s">
        <v>52</v>
      </c>
      <c r="F21" s="3" t="s">
        <v>52</v>
      </c>
      <c r="G21" s="3" t="s">
        <v>129</v>
      </c>
      <c r="H21" s="3" t="s">
        <v>33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130</v>
      </c>
      <c r="B1" s="4" t="s">
        <v>131</v>
      </c>
    </row>
    <row r="2" spans="1:2" x14ac:dyDescent="0.25">
      <c r="A2" t="s">
        <v>132</v>
      </c>
      <c r="B2" s="5">
        <f>COUNTA('Code Register'!A2:A400)</f>
      </c>
    </row>
    <row r="3" spans="1:2" x14ac:dyDescent="0.25">
      <c r="A3" t="s">
        <v>133</v>
      </c>
      <c r="B3" s="5">
        <f>COUNTIF('Code Register'!B2:B400,"Service")</f>
      </c>
    </row>
    <row r="4" spans="1:2" x14ac:dyDescent="0.25">
      <c r="A4" t="s">
        <v>134</v>
      </c>
      <c r="B4" s="5">
        <f>COUNTIF('Code Register'!B2:B400,"Renderer")</f>
      </c>
    </row>
    <row r="5" spans="1:2" x14ac:dyDescent="0.25">
      <c r="A5" t="s">
        <v>135</v>
      </c>
      <c r="B5" s="5">
        <f>COUNTIF('Code Register'!B2:B400,"Tooling")</f>
      </c>
    </row>
    <row r="6" spans="1:2" x14ac:dyDescent="0.25">
      <c r="A6" t="s">
        <v>136</v>
      </c>
      <c r="B6" s="5">
        <f>COUNTIF('Code Register'!H2:H400,"Done")</f>
      </c>
    </row>
    <row r="7" spans="1:2" x14ac:dyDescent="0.25">
      <c r="A7" t="s">
        <v>137</v>
      </c>
      <c r="B7" s="5">
        <f>ROUND(COUNTIF('Code Register'!H2:H400,"Done")/COUNTA('Code Register'!A2:A400)*100,1)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Code Register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2026-08-01T02:57:35Z</dcterms:created>
  <dcterms:modified xsi:type="dcterms:W3CDTF">2026-08-01T02:57:35Z</dcterms:modified>
</cp:coreProperties>
</file>