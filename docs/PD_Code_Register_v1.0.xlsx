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Legend" state="visible" r:id="rId5"/>
    <sheet sheetId="3" name="Code Register" state="visible" r:id="rId6"/>
    <sheet sheetId="4" name="Summary" state="visible" r:id="rId7"/>
  </sheets>
  <calcPr calcId="171027"/>
</workbook>
</file>

<file path=xl/sharedStrings.xml><?xml version="1.0" encoding="utf-8"?>
<sst xmlns="http://schemas.openxmlformats.org/spreadsheetml/2006/main" count="400" uniqueCount="217">
  <si>
    <t>PulseDesk — Code Register</t>
  </si>
  <si>
    <t>Document ID</t>
  </si>
  <si>
    <t>PD-CR-001</t>
  </si>
  <si>
    <t>Version</t>
  </si>
  <si>
    <t>1.0</t>
  </si>
  <si>
    <t>Date</t>
  </si>
  <si>
    <t>2026-08-01</t>
  </si>
  <si>
    <t>Prepared by</t>
  </si>
  <si>
    <t>TandSol</t>
  </si>
  <si>
    <t>Status</t>
  </si>
  <si>
    <t>Living</t>
  </si>
  <si>
    <t>Related documents</t>
  </si>
  <si>
    <t>PD-RTM-001, PD-SDD-001</t>
  </si>
  <si>
    <t>Classification</t>
  </si>
  <si>
    <t>Internal</t>
  </si>
  <si>
    <t>Revision note</t>
  </si>
  <si>
    <t>v1.0 — initial baseline issued with the first working build.</t>
  </si>
  <si>
    <t>Layer</t>
  </si>
  <si>
    <t/>
  </si>
  <si>
    <t>Main process</t>
  </si>
  <si>
    <t>Runs in Electron main — has Node and OS access</t>
  </si>
  <si>
    <t>Bridge</t>
  </si>
  <si>
    <t>contextBridge surface between main and renderer</t>
  </si>
  <si>
    <t>Service</t>
  </si>
  <si>
    <t>Data acquisition and computation modules</t>
  </si>
  <si>
    <t>Renderer</t>
  </si>
  <si>
    <t>Sandboxed UI</t>
  </si>
  <si>
    <t>Tooling</t>
  </si>
  <si>
    <t>Developer utilities, not shipped in the packaged app</t>
  </si>
  <si>
    <t>Config</t>
  </si>
  <si>
    <t>Manifests and launch configuration</t>
  </si>
  <si>
    <t>Docs</t>
  </si>
  <si>
    <t>Documentation artefacts</t>
  </si>
  <si>
    <t>Done</t>
  </si>
  <si>
    <t>Implemented and verified against live data</t>
  </si>
  <si>
    <t>WIP</t>
  </si>
  <si>
    <t>In progress</t>
  </si>
  <si>
    <t>Planned</t>
  </si>
  <si>
    <t>Designed, not yet written</t>
  </si>
  <si>
    <t>Rule</t>
  </si>
  <si>
    <t>Order of work</t>
  </si>
  <si>
    <t>Check this register before opening source files</t>
  </si>
  <si>
    <t>Update cadence</t>
  </si>
  <si>
    <t>A row is added or amended in the same turn as the file it describes</t>
  </si>
  <si>
    <t>File Path</t>
  </si>
  <si>
    <t>Purpose</t>
  </si>
  <si>
    <t>Route/Policy</t>
  </si>
  <si>
    <t>Key Data Stores</t>
  </si>
  <si>
    <t>RTM Req ID</t>
  </si>
  <si>
    <t>Design Ref (SDD §)</t>
  </si>
  <si>
    <t>package.json</t>
  </si>
  <si>
    <t>Manifest, scripts and electron-builder packaging targets</t>
  </si>
  <si>
    <t>—</t>
  </si>
  <si>
    <t>NFR-005, NFR-009</t>
  </si>
  <si>
    <t>SDD §2.2</t>
  </si>
  <si>
    <t>main.js</t>
  </si>
  <si>
    <t>Window lifecycle, tray, global shortcuts, IPC surface (incl. search:history), tiered refresh orchestration including funds and financial-hub cities</t>
  </si>
  <si>
    <t>IPC: data:*, portfolio:*, settings:*, win:*, search:*</t>
  </si>
  <si>
    <t>settings.json</t>
  </si>
  <si>
    <t>FUN-025..FUN-029, FUN-055, FUN-058, FUN-062, SEC-004, SEC-005</t>
  </si>
  <si>
    <t>SDD §3</t>
  </si>
  <si>
    <t>preload.js</t>
  </si>
  <si>
    <t>contextBridge API exposed to the renderer as window.pulse, including history()</t>
  </si>
  <si>
    <t>IPC allowlist</t>
  </si>
  <si>
    <t>SEC-001</t>
  </si>
  <si>
    <t>SDD §6.1</t>
  </si>
  <si>
    <t>src/services/http.js</t>
  </si>
  <si>
    <t>fetch wrapper with abort timeout, TTL cache with stale fallback, bounded-concurrency pool</t>
  </si>
  <si>
    <t>NFR-003, NFR-004, SEC-009</t>
  </si>
  <si>
    <t>SDD §3.7</t>
  </si>
  <si>
    <t>src/services/stocks.js</t>
  </si>
  <si>
    <t>Yahoo chart normalisation, Stooq fallback, index basket, FX cross, hype scoring, sector-tagged popular list, 1D-5Y history series</t>
  </si>
  <si>
    <t>FUN-001..FUN-003, FUN-008, FUN-020, FUN-058, FUN-060, NFR-010</t>
  </si>
  <si>
    <t>SDD §4.1, §4.2, §4.11, §4.13</t>
  </si>
  <si>
    <t>src/services/sentiment.js</t>
  </si>
  <si>
    <t>Market-headline lexicon with negation, hedging and percentage weighting</t>
  </si>
  <si>
    <t>FUN-013</t>
  </si>
  <si>
    <t>SDD §4.4</t>
  </si>
  <si>
    <t>src/services/news.js</t>
  </si>
  <si>
    <t>RSS/Atom fetch and parse, entity repair, de-duplication, ticker extraction, ranking</t>
  </si>
  <si>
    <t>FUN-012, FUN-014, SEC-003</t>
  </si>
  <si>
    <t>SDD §4.3</t>
  </si>
  <si>
    <t>src/services/crypto.js</t>
  </si>
  <si>
    <t>Binance 5-hour rolling-window ranking, CoinGecko fallback, Fear &amp; Greed, global stats</t>
  </si>
  <si>
    <t>FUN-017..FUN-019, NFR-010</t>
  </si>
  <si>
    <t>SDD §4.6</t>
  </si>
  <si>
    <t>src/services/weather.js</t>
  </si>
  <si>
    <t>IP geolocation chain, Open-Meteo forecast, air quality, weather-code mapping, six-city financial-hub snapshot</t>
  </si>
  <si>
    <t>FUN-023, FUN-024, FUN-062</t>
  </si>
  <si>
    <t>SDD §4.8</t>
  </si>
  <si>
    <t>src/services/portfolio.js</t>
  </si>
  <si>
    <t>JSON store, weighted-average merge, valuation, realised/unrealised P&amp;L, daily snapshots</t>
  </si>
  <si>
    <t>portfolio.json, history.json</t>
  </si>
  <si>
    <t>FUN-004..FUN-011, SEC-007</t>
  </si>
  <si>
    <t>SDD §4.5</t>
  </si>
  <si>
    <t>src/services/market.js</t>
  </si>
  <si>
    <t>Exchange session clocks with open-now/closes-in wording, breadth calculation, composite pulse score</t>
  </si>
  <si>
    <t>FUN-021, FUN-022, FUN-063</t>
  </si>
  <si>
    <t>SDD §4.7</t>
  </si>
  <si>
    <t>src/services/mutualfunds.js</t>
  </si>
  <si>
    <t>Curated Direct-Growth mutual fund NAVs from mfapi.in by pinned scheme code, with day/month/year change</t>
  </si>
  <si>
    <t>FUN-055, FUN-056, SEC-016</t>
  </si>
  <si>
    <t>SDD §4.12</t>
  </si>
  <si>
    <t>src/services/icon.js</t>
  </si>
  <si>
    <t>Dependency-free RGBA PNG encoder used for the tray and window icon</t>
  </si>
  <si>
    <t>FUN-026</t>
  </si>
  <si>
    <t>SDD §3.3</t>
  </si>
  <si>
    <t>src/renderer/index.html</t>
  </si>
  <si>
    <t>Dashboard markup, CSP declaration, modal shells including the stock chart and all-scanned-stocks modals</t>
  </si>
  <si>
    <t>SEC-002, NFR-006, FUN-057, FUN-058</t>
  </si>
  <si>
    <t>SDD §5.1</t>
  </si>
  <si>
    <t>src/renderer/styles.css</t>
  </si>
  <si>
    <t>Glass finance theme, fixed-height card grid, chart/modal styling, responsive, compact and mobile-touch layouts</t>
  </si>
  <si>
    <t>FUN-031, NFR-006, NFR-007, NFR-012</t>
  </si>
  <si>
    <t>SDD §5.2</t>
  </si>
  <si>
    <t>src/renderer/app.js</t>
  </si>
  <si>
    <t>Formatting helpers, SVG sparkline/donut/chart builders, likely-call heuristic, related-news matcher, section renderers, event wiring</t>
  </si>
  <si>
    <t>FUN-009, FUN-015, FUN-030, FUN-054, FUN-057..FUN-061, SEC-003</t>
  </si>
  <si>
    <t>SDD §5.3</t>
  </si>
  <si>
    <t>tools/preview-server.js</t>
  </si>
  <si>
    <t>Localhost static server for renderer iteration outside Electron</t>
  </si>
  <si>
    <t>http://localhost:5173</t>
  </si>
  <si>
    <t>SEC-010</t>
  </si>
  <si>
    <t>SDD §7.2</t>
  </si>
  <si>
    <t>tools/docs/content.js</t>
  </si>
  <si>
    <t>Content tables backing the generated document set</t>
  </si>
  <si>
    <t>SDD §7.3</t>
  </si>
  <si>
    <t>tools/gen-docs.js</t>
  </si>
  <si>
    <t>Generates the docx and xlsx documents from content.js</t>
  </si>
  <si>
    <t>.claude/launch.json</t>
  </si>
  <si>
    <t>Preview server launch configuration</t>
  </si>
  <si>
    <t>localhost:5173, localhost:5174</t>
  </si>
  <si>
    <t>README.md</t>
  </si>
  <si>
    <t>Project handbook and document index</t>
  </si>
  <si>
    <t>SDD §1</t>
  </si>
  <si>
    <t>worker/src/index.js</t>
  </si>
  <si>
    <t>Worker</t>
  </si>
  <si>
    <t>CORS market-data relay plus the anonymous usage counter and private stats endpoint</t>
  </si>
  <si>
    <t>/api/indices, /api/news, /api/hyped, /api/popular, /api/funds, /api/crypto, /api/sessions, /api/weather, /api/cities, /api/quotes, /api/fx, /api/lookup, /api/search, /api/price-at, /api/history, /api/ping, /api/stats, /api/health</t>
  </si>
  <si>
    <t>D1: events</t>
  </si>
  <si>
    <t>FUN-034, FUN-036, FUN-037, FUN-055, FUN-058, FUN-062, SEC-011..SEC-014, SEC-016, NFR-011</t>
  </si>
  <si>
    <t>SDD §10.1, §11</t>
  </si>
  <si>
    <t>worker/wrangler.toml</t>
  </si>
  <si>
    <t>Cloudflare Worker and D1 binding configuration</t>
  </si>
  <si>
    <t>D1: pulsedesk</t>
  </si>
  <si>
    <t>NFR-013</t>
  </si>
  <si>
    <t>SDD §10.1</t>
  </si>
  <si>
    <t>worker/schema.sql</t>
  </si>
  <si>
    <t>Events table and indexes for the usage counter</t>
  </si>
  <si>
    <t>FUN-036, SEC-012</t>
  </si>
  <si>
    <t>SDD §11.1</t>
  </si>
  <si>
    <t>web/src/web-bridge.js</t>
  </si>
  <si>
    <t>Web</t>
  </si>
  <si>
    <t>Browser implementation of window.pulse — fetch instead of IPC, localStorage instead of files, including funds/cities/history</t>
  </si>
  <si>
    <t>localStorage: pulse.*</t>
  </si>
  <si>
    <t>FUN-034, FUN-035, FUN-036, FUN-055, FUN-058, FUN-062</t>
  </si>
  <si>
    <t>SDD §10.2</t>
  </si>
  <si>
    <t>web/src/install.js</t>
  </si>
  <si>
    <t>Install prompt for Android/desktop and the Add to Home Screen hint for iOS</t>
  </si>
  <si>
    <t>FUN-032</t>
  </si>
  <si>
    <t>SDD §10.3</t>
  </si>
  <si>
    <t>web/src/sw.js</t>
  </si>
  <si>
    <t>Service worker — shell precache, network-only for market data</t>
  </si>
  <si>
    <t>CacheStorage</t>
  </si>
  <si>
    <t>FUN-033</t>
  </si>
  <si>
    <t>web/src/web.css</t>
  </si>
  <si>
    <t>Web and phone overrides on top of the shared stylesheet</t>
  </si>
  <si>
    <t>NFR-012</t>
  </si>
  <si>
    <t>web/src/manifest.webmanifest</t>
  </si>
  <si>
    <t>Installability metadata, icons, theme and author credit</t>
  </si>
  <si>
    <t>FUN-032, FUN-039</t>
  </si>
  <si>
    <t>web/src/stats.html</t>
  </si>
  <si>
    <t>Private usage dashboard — online now, opens per day, people, 30-day trend, country and platform split</t>
  </si>
  <si>
    <t>/stats.html</t>
  </si>
  <si>
    <t>reads /api/stats</t>
  </si>
  <si>
    <t>FUN-037, SEC-011</t>
  </si>
  <si>
    <t>SDD §11.2</t>
  </si>
  <si>
    <t>tools/build-web.js</t>
  </si>
  <si>
    <t>Assembles web/dist from the shared renderer, rewrites CSP, injects the bridge, emits icons and config</t>
  </si>
  <si>
    <t>FUN-032, SEC-015</t>
  </si>
  <si>
    <t>tools/gen-icons.js</t>
  </si>
  <si>
    <t>Writes packaging icons from the runtime PNG encoder</t>
  </si>
  <si>
    <t>FUN-038</t>
  </si>
  <si>
    <t>SDD §10.4</t>
  </si>
  <si>
    <t>.github/workflows/pages.yml</t>
  </si>
  <si>
    <t>CI</t>
  </si>
  <si>
    <t>Builds and deploys the web app to GitHub Pages on push</t>
  </si>
  <si>
    <t>FUN-032, NFR-013</t>
  </si>
  <si>
    <t>.github/workflows/release.yml</t>
  </si>
  <si>
    <t>Builds the Windows installer and portable exe on a version tag and attaches them to the release</t>
  </si>
  <si>
    <t>DEPLOY.md</t>
  </si>
  <si>
    <t>Zero-cost distribution runbook for Pages, Releases, Cloudflare and the usage dashboard</t>
  </si>
  <si>
    <t>SDD §10.5</t>
  </si>
  <si>
    <t>HOW-TO-PUBLISH.md</t>
  </si>
  <si>
    <t>Click-by-click publishing guide with no command line, for a non-technical operator</t>
  </si>
  <si>
    <t>FUN-053</t>
  </si>
  <si>
    <t>SDD §10.6</t>
  </si>
  <si>
    <t>INSTALL.md</t>
  </si>
  <si>
    <t>End-user installation guide for phone, PC and browser, plus the holdings walkthrough</t>
  </si>
  <si>
    <t>tools/bundle-worker.js</t>
  </si>
  <si>
    <t>esbuild bundle of the worker into a single pasteable file</t>
  </si>
  <si>
    <t>FUN-052</t>
  </si>
  <si>
    <t>worker/dist/worker.js</t>
  </si>
  <si>
    <t>Generated single-file worker for dashboard paste-deployment</t>
  </si>
  <si>
    <t>run-pulsedesk.bat</t>
  </si>
  <si>
    <t>Double-click launcher that installs dependencies on first run and starts the app</t>
  </si>
  <si>
    <t>make-worker-file.bat</t>
  </si>
  <si>
    <t>Double-click builder for the pasteable worker file</t>
  </si>
  <si>
    <t>FUN-052, FUN-053</t>
  </si>
  <si>
    <t>Metric</t>
  </si>
  <si>
    <t>Value</t>
  </si>
  <si>
    <t>Files registered</t>
  </si>
  <si>
    <t>Service modules</t>
  </si>
  <si>
    <t>Renderer files</t>
  </si>
  <si>
    <t>Tooling files</t>
  </si>
  <si>
    <t>Files complete</t>
  </si>
  <si>
    <t>Percent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</si>
</sst>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0152B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3B2E7E"/>
      </patternFill>
    </fill>
    <fill>
      <patternFill patternType="solid">
        <fgColor rgb="FFF2F4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/>
    <xf numFmtId="0" fontId="0" fillId="0" borderId="0" xfId="0" applyAlignment="1">
      <alignment vertical="top" wrapText="1"/>
    </xf>
    <xf numFmtId="0" fontId="3" fillId="2" borderId="0" xfId="0" applyFont="1" applyFill="1"/>
    <xf numFmtId="0" fontId="4" fillId="0" borderId="0" xfId="0" applyFont="1"/>
    <xf numFmtId="0" fontId="0" fillId="0" borderId="0" xfId="0" applyAlignment="1">
      <alignment wrapText="1"/>
    </xf>
    <xf numFmtId="0" fontId="3" fillId="2" borderId="0" xfId="0" applyFont="1" applyFill="1" applyAlignment="1">
      <alignment vertical="center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6" customWidth="1"/>
    <col min="2" max="2" width="92" customWidth="1"/>
  </cols>
  <sheetData>
    <row r="1" ht="30" customHeight="1" spans="1:2" x14ac:dyDescent="0.25">
      <c r="A1" s="1" t="s">
        <v>0</v>
      </c>
      <c r="B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10</v>
      </c>
    </row>
    <row r="7" spans="1:2" x14ac:dyDescent="0.25">
      <c r="A7" s="2" t="s">
        <v>11</v>
      </c>
      <c r="B7" s="3" t="s">
        <v>12</v>
      </c>
    </row>
    <row r="8" spans="1:2" x14ac:dyDescent="0.25">
      <c r="A8" s="2" t="s">
        <v>13</v>
      </c>
      <c r="B8" s="3" t="s">
        <v>14</v>
      </c>
    </row>
    <row r="9" spans="1:2" x14ac:dyDescent="0.25">
      <c r="A9" s="2" t="s">
        <v>15</v>
      </c>
      <c r="B9" s="3" t="s">
        <v>16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22" customWidth="1"/>
    <col min="2" max="2" width="24" customWidth="1"/>
    <col min="3" max="3" width="84" customWidth="1"/>
  </cols>
  <sheetData>
    <row r="1" spans="1:1" x14ac:dyDescent="0.25">
      <c r="A1" s="4" t="s">
        <v>17</v>
      </c>
    </row>
    <row r="2" spans="1:3" x14ac:dyDescent="0.25">
      <c r="A2" t="s">
        <v>18</v>
      </c>
      <c r="B2" s="5" t="s">
        <v>19</v>
      </c>
      <c r="C2" s="6" t="s">
        <v>20</v>
      </c>
    </row>
    <row r="3" spans="1:3" x14ac:dyDescent="0.25">
      <c r="A3" t="s">
        <v>18</v>
      </c>
      <c r="B3" s="5" t="s">
        <v>21</v>
      </c>
      <c r="C3" s="6" t="s">
        <v>22</v>
      </c>
    </row>
    <row r="4" spans="1:3" x14ac:dyDescent="0.25">
      <c r="A4" t="s">
        <v>18</v>
      </c>
      <c r="B4" s="5" t="s">
        <v>23</v>
      </c>
      <c r="C4" s="6" t="s">
        <v>24</v>
      </c>
    </row>
    <row r="5" spans="1:3" x14ac:dyDescent="0.25">
      <c r="A5" t="s">
        <v>18</v>
      </c>
      <c r="B5" s="5" t="s">
        <v>25</v>
      </c>
      <c r="C5" s="6" t="s">
        <v>26</v>
      </c>
    </row>
    <row r="6" spans="1:3" x14ac:dyDescent="0.25">
      <c r="A6" t="s">
        <v>18</v>
      </c>
      <c r="B6" s="5" t="s">
        <v>27</v>
      </c>
      <c r="C6" s="6" t="s">
        <v>28</v>
      </c>
    </row>
    <row r="7" spans="1:3" x14ac:dyDescent="0.25">
      <c r="A7" t="s">
        <v>18</v>
      </c>
      <c r="B7" s="5" t="s">
        <v>29</v>
      </c>
      <c r="C7" s="6" t="s">
        <v>30</v>
      </c>
    </row>
    <row r="8" spans="1:3" x14ac:dyDescent="0.25">
      <c r="A8" t="s">
        <v>18</v>
      </c>
      <c r="B8" s="5" t="s">
        <v>31</v>
      </c>
      <c r="C8" s="6" t="s">
        <v>32</v>
      </c>
    </row>
    <row r="10" spans="1:1" x14ac:dyDescent="0.25">
      <c r="A10" s="4" t="s">
        <v>9</v>
      </c>
    </row>
    <row r="11" spans="1:3" x14ac:dyDescent="0.25">
      <c r="A11" t="s">
        <v>18</v>
      </c>
      <c r="B11" s="5" t="s">
        <v>33</v>
      </c>
      <c r="C11" s="6" t="s">
        <v>34</v>
      </c>
    </row>
    <row r="12" spans="1:3" x14ac:dyDescent="0.25">
      <c r="A12" t="s">
        <v>18</v>
      </c>
      <c r="B12" s="5" t="s">
        <v>35</v>
      </c>
      <c r="C12" s="6" t="s">
        <v>36</v>
      </c>
    </row>
    <row r="13" spans="1:3" x14ac:dyDescent="0.25">
      <c r="A13" t="s">
        <v>18</v>
      </c>
      <c r="B13" s="5" t="s">
        <v>37</v>
      </c>
      <c r="C13" s="6" t="s">
        <v>38</v>
      </c>
    </row>
    <row r="15" spans="1:1" x14ac:dyDescent="0.25">
      <c r="A15" s="4" t="s">
        <v>39</v>
      </c>
    </row>
    <row r="16" spans="1:3" x14ac:dyDescent="0.25">
      <c r="A16" t="s">
        <v>18</v>
      </c>
      <c r="B16" s="5" t="s">
        <v>40</v>
      </c>
      <c r="C16" s="6" t="s">
        <v>41</v>
      </c>
    </row>
    <row r="17" spans="1:3" x14ac:dyDescent="0.25">
      <c r="A17" t="s">
        <v>18</v>
      </c>
      <c r="B17" s="5" t="s">
        <v>42</v>
      </c>
      <c r="C17" s="6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5" customWidth="1"/>
    <col min="3" max="3" width="68" customWidth="1"/>
    <col min="4" max="4" width="30" customWidth="1"/>
    <col min="5" max="5" width="26" customWidth="1"/>
    <col min="6" max="6" width="40" customWidth="1"/>
    <col min="7" max="7" width="18" customWidth="1"/>
    <col min="8" max="8" width="10" customWidth="1"/>
  </cols>
  <sheetData>
    <row r="1" ht="30" customHeight="1" spans="1:8" s="7" customFormat="1" x14ac:dyDescent="0.25">
      <c r="A1" s="7" t="s">
        <v>44</v>
      </c>
      <c r="B1" s="7" t="s">
        <v>17</v>
      </c>
      <c r="C1" s="7" t="s">
        <v>45</v>
      </c>
      <c r="D1" s="7" t="s">
        <v>46</v>
      </c>
      <c r="E1" s="7" t="s">
        <v>47</v>
      </c>
      <c r="F1" s="7" t="s">
        <v>48</v>
      </c>
      <c r="G1" s="7" t="s">
        <v>49</v>
      </c>
      <c r="H1" s="7" t="s">
        <v>9</v>
      </c>
    </row>
    <row r="2" spans="1:8" s="8" customFormat="1" x14ac:dyDescent="0.25">
      <c r="A2" s="8" t="s">
        <v>50</v>
      </c>
      <c r="B2" s="8" t="s">
        <v>29</v>
      </c>
      <c r="C2" s="8" t="s">
        <v>51</v>
      </c>
      <c r="D2" s="8" t="s">
        <v>52</v>
      </c>
      <c r="E2" s="8" t="s">
        <v>52</v>
      </c>
      <c r="F2" s="8" t="s">
        <v>53</v>
      </c>
      <c r="G2" s="8" t="s">
        <v>54</v>
      </c>
      <c r="H2" s="8" t="s">
        <v>33</v>
      </c>
    </row>
    <row r="3" spans="1:8" s="3" customFormat="1" x14ac:dyDescent="0.25">
      <c r="A3" s="3" t="s">
        <v>55</v>
      </c>
      <c r="B3" s="3" t="s">
        <v>19</v>
      </c>
      <c r="C3" s="3" t="s">
        <v>56</v>
      </c>
      <c r="D3" s="3" t="s">
        <v>57</v>
      </c>
      <c r="E3" s="3" t="s">
        <v>58</v>
      </c>
      <c r="F3" s="3" t="s">
        <v>59</v>
      </c>
      <c r="G3" s="3" t="s">
        <v>60</v>
      </c>
      <c r="H3" s="3" t="s">
        <v>33</v>
      </c>
    </row>
    <row r="4" spans="1:8" s="8" customFormat="1" x14ac:dyDescent="0.25">
      <c r="A4" s="8" t="s">
        <v>61</v>
      </c>
      <c r="B4" s="8" t="s">
        <v>21</v>
      </c>
      <c r="C4" s="8" t="s">
        <v>62</v>
      </c>
      <c r="D4" s="8" t="s">
        <v>63</v>
      </c>
      <c r="E4" s="8" t="s">
        <v>52</v>
      </c>
      <c r="F4" s="8" t="s">
        <v>64</v>
      </c>
      <c r="G4" s="8" t="s">
        <v>65</v>
      </c>
      <c r="H4" s="8" t="s">
        <v>33</v>
      </c>
    </row>
    <row r="5" spans="1:8" s="3" customFormat="1" x14ac:dyDescent="0.25">
      <c r="A5" s="3" t="s">
        <v>66</v>
      </c>
      <c r="B5" s="3" t="s">
        <v>23</v>
      </c>
      <c r="C5" s="3" t="s">
        <v>67</v>
      </c>
      <c r="D5" s="3" t="s">
        <v>52</v>
      </c>
      <c r="E5" s="3" t="s">
        <v>52</v>
      </c>
      <c r="F5" s="3" t="s">
        <v>68</v>
      </c>
      <c r="G5" s="3" t="s">
        <v>69</v>
      </c>
      <c r="H5" s="3" t="s">
        <v>33</v>
      </c>
    </row>
    <row r="6" spans="1:8" s="8" customFormat="1" x14ac:dyDescent="0.25">
      <c r="A6" s="8" t="s">
        <v>70</v>
      </c>
      <c r="B6" s="8" t="s">
        <v>23</v>
      </c>
      <c r="C6" s="8" t="s">
        <v>71</v>
      </c>
      <c r="D6" s="8" t="s">
        <v>52</v>
      </c>
      <c r="E6" s="8" t="s">
        <v>52</v>
      </c>
      <c r="F6" s="8" t="s">
        <v>72</v>
      </c>
      <c r="G6" s="8" t="s">
        <v>73</v>
      </c>
      <c r="H6" s="8" t="s">
        <v>33</v>
      </c>
    </row>
    <row r="7" spans="1:8" s="3" customFormat="1" x14ac:dyDescent="0.25">
      <c r="A7" s="3" t="s">
        <v>74</v>
      </c>
      <c r="B7" s="3" t="s">
        <v>23</v>
      </c>
      <c r="C7" s="3" t="s">
        <v>75</v>
      </c>
      <c r="D7" s="3" t="s">
        <v>52</v>
      </c>
      <c r="E7" s="3" t="s">
        <v>52</v>
      </c>
      <c r="F7" s="3" t="s">
        <v>76</v>
      </c>
      <c r="G7" s="3" t="s">
        <v>77</v>
      </c>
      <c r="H7" s="3" t="s">
        <v>33</v>
      </c>
    </row>
    <row r="8" spans="1:8" s="8" customFormat="1" x14ac:dyDescent="0.25">
      <c r="A8" s="8" t="s">
        <v>78</v>
      </c>
      <c r="B8" s="8" t="s">
        <v>23</v>
      </c>
      <c r="C8" s="8" t="s">
        <v>79</v>
      </c>
      <c r="D8" s="8" t="s">
        <v>52</v>
      </c>
      <c r="E8" s="8" t="s">
        <v>52</v>
      </c>
      <c r="F8" s="8" t="s">
        <v>80</v>
      </c>
      <c r="G8" s="8" t="s">
        <v>81</v>
      </c>
      <c r="H8" s="8" t="s">
        <v>33</v>
      </c>
    </row>
    <row r="9" spans="1:8" s="3" customFormat="1" x14ac:dyDescent="0.25">
      <c r="A9" s="3" t="s">
        <v>82</v>
      </c>
      <c r="B9" s="3" t="s">
        <v>23</v>
      </c>
      <c r="C9" s="3" t="s">
        <v>83</v>
      </c>
      <c r="D9" s="3" t="s">
        <v>52</v>
      </c>
      <c r="E9" s="3" t="s">
        <v>52</v>
      </c>
      <c r="F9" s="3" t="s">
        <v>84</v>
      </c>
      <c r="G9" s="3" t="s">
        <v>85</v>
      </c>
      <c r="H9" s="3" t="s">
        <v>33</v>
      </c>
    </row>
    <row r="10" spans="1:8" s="8" customFormat="1" x14ac:dyDescent="0.25">
      <c r="A10" s="8" t="s">
        <v>86</v>
      </c>
      <c r="B10" s="8" t="s">
        <v>23</v>
      </c>
      <c r="C10" s="8" t="s">
        <v>87</v>
      </c>
      <c r="D10" s="8" t="s">
        <v>52</v>
      </c>
      <c r="E10" s="8" t="s">
        <v>52</v>
      </c>
      <c r="F10" s="8" t="s">
        <v>88</v>
      </c>
      <c r="G10" s="8" t="s">
        <v>89</v>
      </c>
      <c r="H10" s="8" t="s">
        <v>33</v>
      </c>
    </row>
    <row r="11" spans="1:8" s="3" customFormat="1" x14ac:dyDescent="0.25">
      <c r="A11" s="3" t="s">
        <v>90</v>
      </c>
      <c r="B11" s="3" t="s">
        <v>23</v>
      </c>
      <c r="C11" s="3" t="s">
        <v>91</v>
      </c>
      <c r="D11" s="3" t="s">
        <v>52</v>
      </c>
      <c r="E11" s="3" t="s">
        <v>92</v>
      </c>
      <c r="F11" s="3" t="s">
        <v>93</v>
      </c>
      <c r="G11" s="3" t="s">
        <v>94</v>
      </c>
      <c r="H11" s="3" t="s">
        <v>33</v>
      </c>
    </row>
    <row r="12" spans="1:8" s="8" customFormat="1" x14ac:dyDescent="0.25">
      <c r="A12" s="8" t="s">
        <v>95</v>
      </c>
      <c r="B12" s="8" t="s">
        <v>23</v>
      </c>
      <c r="C12" s="8" t="s">
        <v>96</v>
      </c>
      <c r="D12" s="8" t="s">
        <v>52</v>
      </c>
      <c r="E12" s="8" t="s">
        <v>52</v>
      </c>
      <c r="F12" s="8" t="s">
        <v>97</v>
      </c>
      <c r="G12" s="8" t="s">
        <v>98</v>
      </c>
      <c r="H12" s="8" t="s">
        <v>33</v>
      </c>
    </row>
    <row r="13" spans="1:8" s="3" customFormat="1" x14ac:dyDescent="0.25">
      <c r="A13" s="3" t="s">
        <v>99</v>
      </c>
      <c r="B13" s="3" t="s">
        <v>23</v>
      </c>
      <c r="C13" s="3" t="s">
        <v>100</v>
      </c>
      <c r="D13" s="3" t="s">
        <v>52</v>
      </c>
      <c r="E13" s="3" t="s">
        <v>52</v>
      </c>
      <c r="F13" s="3" t="s">
        <v>101</v>
      </c>
      <c r="G13" s="3" t="s">
        <v>102</v>
      </c>
      <c r="H13" s="3" t="s">
        <v>33</v>
      </c>
    </row>
    <row r="14" spans="1:8" s="8" customFormat="1" x14ac:dyDescent="0.25">
      <c r="A14" s="8" t="s">
        <v>103</v>
      </c>
      <c r="B14" s="8" t="s">
        <v>23</v>
      </c>
      <c r="C14" s="8" t="s">
        <v>104</v>
      </c>
      <c r="D14" s="8" t="s">
        <v>52</v>
      </c>
      <c r="E14" s="8" t="s">
        <v>52</v>
      </c>
      <c r="F14" s="8" t="s">
        <v>105</v>
      </c>
      <c r="G14" s="8" t="s">
        <v>106</v>
      </c>
      <c r="H14" s="8" t="s">
        <v>33</v>
      </c>
    </row>
    <row r="15" spans="1:8" s="3" customFormat="1" x14ac:dyDescent="0.25">
      <c r="A15" s="3" t="s">
        <v>107</v>
      </c>
      <c r="B15" s="3" t="s">
        <v>25</v>
      </c>
      <c r="C15" s="3" t="s">
        <v>108</v>
      </c>
      <c r="D15" s="3" t="s">
        <v>52</v>
      </c>
      <c r="E15" s="3" t="s">
        <v>52</v>
      </c>
      <c r="F15" s="3" t="s">
        <v>109</v>
      </c>
      <c r="G15" s="3" t="s">
        <v>110</v>
      </c>
      <c r="H15" s="3" t="s">
        <v>33</v>
      </c>
    </row>
    <row r="16" spans="1:8" s="8" customFormat="1" x14ac:dyDescent="0.25">
      <c r="A16" s="8" t="s">
        <v>111</v>
      </c>
      <c r="B16" s="8" t="s">
        <v>25</v>
      </c>
      <c r="C16" s="8" t="s">
        <v>112</v>
      </c>
      <c r="D16" s="8" t="s">
        <v>52</v>
      </c>
      <c r="E16" s="8" t="s">
        <v>52</v>
      </c>
      <c r="F16" s="8" t="s">
        <v>113</v>
      </c>
      <c r="G16" s="8" t="s">
        <v>114</v>
      </c>
      <c r="H16" s="8" t="s">
        <v>33</v>
      </c>
    </row>
    <row r="17" spans="1:8" s="3" customFormat="1" x14ac:dyDescent="0.25">
      <c r="A17" s="3" t="s">
        <v>115</v>
      </c>
      <c r="B17" s="3" t="s">
        <v>25</v>
      </c>
      <c r="C17" s="3" t="s">
        <v>116</v>
      </c>
      <c r="D17" s="3" t="s">
        <v>52</v>
      </c>
      <c r="E17" s="3" t="s">
        <v>52</v>
      </c>
      <c r="F17" s="3" t="s">
        <v>117</v>
      </c>
      <c r="G17" s="3" t="s">
        <v>118</v>
      </c>
      <c r="H17" s="3" t="s">
        <v>33</v>
      </c>
    </row>
    <row r="18" spans="1:8" s="8" customFormat="1" x14ac:dyDescent="0.25">
      <c r="A18" s="8" t="s">
        <v>119</v>
      </c>
      <c r="B18" s="8" t="s">
        <v>27</v>
      </c>
      <c r="C18" s="8" t="s">
        <v>120</v>
      </c>
      <c r="D18" s="8" t="s">
        <v>121</v>
      </c>
      <c r="E18" s="8" t="s">
        <v>52</v>
      </c>
      <c r="F18" s="8" t="s">
        <v>122</v>
      </c>
      <c r="G18" s="8" t="s">
        <v>123</v>
      </c>
      <c r="H18" s="8" t="s">
        <v>33</v>
      </c>
    </row>
    <row r="19" spans="1:8" s="3" customFormat="1" x14ac:dyDescent="0.25">
      <c r="A19" s="3" t="s">
        <v>124</v>
      </c>
      <c r="B19" s="3" t="s">
        <v>27</v>
      </c>
      <c r="C19" s="3" t="s">
        <v>125</v>
      </c>
      <c r="D19" s="3" t="s">
        <v>52</v>
      </c>
      <c r="E19" s="3" t="s">
        <v>52</v>
      </c>
      <c r="F19" s="3" t="s">
        <v>52</v>
      </c>
      <c r="G19" s="3" t="s">
        <v>126</v>
      </c>
      <c r="H19" s="3" t="s">
        <v>33</v>
      </c>
    </row>
    <row r="20" spans="1:8" s="8" customFormat="1" x14ac:dyDescent="0.25">
      <c r="A20" s="8" t="s">
        <v>127</v>
      </c>
      <c r="B20" s="8" t="s">
        <v>27</v>
      </c>
      <c r="C20" s="8" t="s">
        <v>128</v>
      </c>
      <c r="D20" s="8" t="s">
        <v>52</v>
      </c>
      <c r="E20" s="8" t="s">
        <v>52</v>
      </c>
      <c r="F20" s="8" t="s">
        <v>52</v>
      </c>
      <c r="G20" s="8" t="s">
        <v>126</v>
      </c>
      <c r="H20" s="8" t="s">
        <v>33</v>
      </c>
    </row>
    <row r="21" spans="1:8" s="3" customFormat="1" x14ac:dyDescent="0.25">
      <c r="A21" s="3" t="s">
        <v>129</v>
      </c>
      <c r="B21" s="3" t="s">
        <v>29</v>
      </c>
      <c r="C21" s="3" t="s">
        <v>130</v>
      </c>
      <c r="D21" s="3" t="s">
        <v>131</v>
      </c>
      <c r="E21" s="3" t="s">
        <v>52</v>
      </c>
      <c r="F21" s="3" t="s">
        <v>52</v>
      </c>
      <c r="G21" s="3" t="s">
        <v>123</v>
      </c>
      <c r="H21" s="3" t="s">
        <v>33</v>
      </c>
    </row>
    <row r="22" spans="1:8" s="8" customFormat="1" x14ac:dyDescent="0.25">
      <c r="A22" s="8" t="s">
        <v>132</v>
      </c>
      <c r="B22" s="8" t="s">
        <v>31</v>
      </c>
      <c r="C22" s="8" t="s">
        <v>133</v>
      </c>
      <c r="D22" s="8" t="s">
        <v>52</v>
      </c>
      <c r="E22" s="8" t="s">
        <v>52</v>
      </c>
      <c r="F22" s="8" t="s">
        <v>52</v>
      </c>
      <c r="G22" s="8" t="s">
        <v>134</v>
      </c>
      <c r="H22" s="8" t="s">
        <v>33</v>
      </c>
    </row>
    <row r="23" spans="1:8" s="3" customFormat="1" x14ac:dyDescent="0.25">
      <c r="A23" s="3" t="s">
        <v>135</v>
      </c>
      <c r="B23" s="3" t="s">
        <v>136</v>
      </c>
      <c r="C23" s="3" t="s">
        <v>137</v>
      </c>
      <c r="D23" s="3" t="s">
        <v>138</v>
      </c>
      <c r="E23" s="3" t="s">
        <v>139</v>
      </c>
      <c r="F23" s="3" t="s">
        <v>140</v>
      </c>
      <c r="G23" s="3" t="s">
        <v>141</v>
      </c>
      <c r="H23" s="3" t="s">
        <v>33</v>
      </c>
    </row>
    <row r="24" spans="1:8" s="8" customFormat="1" x14ac:dyDescent="0.25">
      <c r="A24" s="8" t="s">
        <v>142</v>
      </c>
      <c r="B24" s="8" t="s">
        <v>29</v>
      </c>
      <c r="C24" s="8" t="s">
        <v>143</v>
      </c>
      <c r="D24" s="8" t="s">
        <v>52</v>
      </c>
      <c r="E24" s="8" t="s">
        <v>144</v>
      </c>
      <c r="F24" s="8" t="s">
        <v>145</v>
      </c>
      <c r="G24" s="8" t="s">
        <v>146</v>
      </c>
      <c r="H24" s="8" t="s">
        <v>33</v>
      </c>
    </row>
    <row r="25" spans="1:8" s="3" customFormat="1" x14ac:dyDescent="0.25">
      <c r="A25" s="3" t="s">
        <v>147</v>
      </c>
      <c r="B25" s="3" t="s">
        <v>136</v>
      </c>
      <c r="C25" s="3" t="s">
        <v>148</v>
      </c>
      <c r="D25" s="3" t="s">
        <v>52</v>
      </c>
      <c r="E25" s="3" t="s">
        <v>139</v>
      </c>
      <c r="F25" s="3" t="s">
        <v>149</v>
      </c>
      <c r="G25" s="3" t="s">
        <v>150</v>
      </c>
      <c r="H25" s="3" t="s">
        <v>33</v>
      </c>
    </row>
    <row r="26" spans="1:8" s="8" customFormat="1" x14ac:dyDescent="0.25">
      <c r="A26" s="8" t="s">
        <v>151</v>
      </c>
      <c r="B26" s="8" t="s">
        <v>152</v>
      </c>
      <c r="C26" s="8" t="s">
        <v>153</v>
      </c>
      <c r="D26" s="8" t="s">
        <v>52</v>
      </c>
      <c r="E26" s="8" t="s">
        <v>154</v>
      </c>
      <c r="F26" s="8" t="s">
        <v>155</v>
      </c>
      <c r="G26" s="8" t="s">
        <v>156</v>
      </c>
      <c r="H26" s="8" t="s">
        <v>33</v>
      </c>
    </row>
    <row r="27" spans="1:8" s="3" customFormat="1" x14ac:dyDescent="0.25">
      <c r="A27" s="3" t="s">
        <v>157</v>
      </c>
      <c r="B27" s="3" t="s">
        <v>152</v>
      </c>
      <c r="C27" s="3" t="s">
        <v>158</v>
      </c>
      <c r="D27" s="3" t="s">
        <v>52</v>
      </c>
      <c r="E27" s="3" t="s">
        <v>52</v>
      </c>
      <c r="F27" s="3" t="s">
        <v>159</v>
      </c>
      <c r="G27" s="3" t="s">
        <v>160</v>
      </c>
      <c r="H27" s="3" t="s">
        <v>33</v>
      </c>
    </row>
    <row r="28" spans="1:8" s="8" customFormat="1" x14ac:dyDescent="0.25">
      <c r="A28" s="8" t="s">
        <v>161</v>
      </c>
      <c r="B28" s="8" t="s">
        <v>152</v>
      </c>
      <c r="C28" s="8" t="s">
        <v>162</v>
      </c>
      <c r="D28" s="8" t="s">
        <v>52</v>
      </c>
      <c r="E28" s="8" t="s">
        <v>163</v>
      </c>
      <c r="F28" s="8" t="s">
        <v>164</v>
      </c>
      <c r="G28" s="8" t="s">
        <v>160</v>
      </c>
      <c r="H28" s="8" t="s">
        <v>33</v>
      </c>
    </row>
    <row r="29" spans="1:8" s="3" customFormat="1" x14ac:dyDescent="0.25">
      <c r="A29" s="3" t="s">
        <v>165</v>
      </c>
      <c r="B29" s="3" t="s">
        <v>152</v>
      </c>
      <c r="C29" s="3" t="s">
        <v>166</v>
      </c>
      <c r="D29" s="3" t="s">
        <v>52</v>
      </c>
      <c r="E29" s="3" t="s">
        <v>52</v>
      </c>
      <c r="F29" s="3" t="s">
        <v>167</v>
      </c>
      <c r="G29" s="3" t="s">
        <v>156</v>
      </c>
      <c r="H29" s="3" t="s">
        <v>33</v>
      </c>
    </row>
    <row r="30" spans="1:8" s="8" customFormat="1" x14ac:dyDescent="0.25">
      <c r="A30" s="8" t="s">
        <v>168</v>
      </c>
      <c r="B30" s="8" t="s">
        <v>152</v>
      </c>
      <c r="C30" s="8" t="s">
        <v>169</v>
      </c>
      <c r="D30" s="8" t="s">
        <v>52</v>
      </c>
      <c r="E30" s="8" t="s">
        <v>52</v>
      </c>
      <c r="F30" s="8" t="s">
        <v>170</v>
      </c>
      <c r="G30" s="8" t="s">
        <v>160</v>
      </c>
      <c r="H30" s="8" t="s">
        <v>33</v>
      </c>
    </row>
    <row r="31" spans="1:8" s="3" customFormat="1" x14ac:dyDescent="0.25">
      <c r="A31" s="3" t="s">
        <v>171</v>
      </c>
      <c r="B31" s="3" t="s">
        <v>152</v>
      </c>
      <c r="C31" s="3" t="s">
        <v>172</v>
      </c>
      <c r="D31" s="3" t="s">
        <v>173</v>
      </c>
      <c r="E31" s="3" t="s">
        <v>174</v>
      </c>
      <c r="F31" s="3" t="s">
        <v>175</v>
      </c>
      <c r="G31" s="3" t="s">
        <v>176</v>
      </c>
      <c r="H31" s="3" t="s">
        <v>33</v>
      </c>
    </row>
    <row r="32" spans="1:8" s="8" customFormat="1" x14ac:dyDescent="0.25">
      <c r="A32" s="8" t="s">
        <v>177</v>
      </c>
      <c r="B32" s="8" t="s">
        <v>27</v>
      </c>
      <c r="C32" s="8" t="s">
        <v>178</v>
      </c>
      <c r="D32" s="8" t="s">
        <v>52</v>
      </c>
      <c r="E32" s="8" t="s">
        <v>52</v>
      </c>
      <c r="F32" s="8" t="s">
        <v>179</v>
      </c>
      <c r="G32" s="8" t="s">
        <v>156</v>
      </c>
      <c r="H32" s="8" t="s">
        <v>33</v>
      </c>
    </row>
    <row r="33" spans="1:8" s="3" customFormat="1" x14ac:dyDescent="0.25">
      <c r="A33" s="3" t="s">
        <v>180</v>
      </c>
      <c r="B33" s="3" t="s">
        <v>27</v>
      </c>
      <c r="C33" s="3" t="s">
        <v>181</v>
      </c>
      <c r="D33" s="3" t="s">
        <v>52</v>
      </c>
      <c r="E33" s="3" t="s">
        <v>52</v>
      </c>
      <c r="F33" s="3" t="s">
        <v>182</v>
      </c>
      <c r="G33" s="3" t="s">
        <v>183</v>
      </c>
      <c r="H33" s="3" t="s">
        <v>33</v>
      </c>
    </row>
    <row r="34" spans="1:8" s="8" customFormat="1" x14ac:dyDescent="0.25">
      <c r="A34" s="8" t="s">
        <v>184</v>
      </c>
      <c r="B34" s="8" t="s">
        <v>185</v>
      </c>
      <c r="C34" s="8" t="s">
        <v>186</v>
      </c>
      <c r="D34" s="8" t="s">
        <v>52</v>
      </c>
      <c r="E34" s="8" t="s">
        <v>52</v>
      </c>
      <c r="F34" s="8" t="s">
        <v>187</v>
      </c>
      <c r="G34" s="8" t="s">
        <v>183</v>
      </c>
      <c r="H34" s="8" t="s">
        <v>33</v>
      </c>
    </row>
    <row r="35" spans="1:8" s="3" customFormat="1" x14ac:dyDescent="0.25">
      <c r="A35" s="3" t="s">
        <v>188</v>
      </c>
      <c r="B35" s="3" t="s">
        <v>185</v>
      </c>
      <c r="C35" s="3" t="s">
        <v>189</v>
      </c>
      <c r="D35" s="3" t="s">
        <v>52</v>
      </c>
      <c r="E35" s="3" t="s">
        <v>52</v>
      </c>
      <c r="F35" s="3" t="s">
        <v>182</v>
      </c>
      <c r="G35" s="3" t="s">
        <v>183</v>
      </c>
      <c r="H35" s="3" t="s">
        <v>33</v>
      </c>
    </row>
    <row r="36" spans="1:8" s="8" customFormat="1" x14ac:dyDescent="0.25">
      <c r="A36" s="8" t="s">
        <v>190</v>
      </c>
      <c r="B36" s="8" t="s">
        <v>31</v>
      </c>
      <c r="C36" s="8" t="s">
        <v>191</v>
      </c>
      <c r="D36" s="8" t="s">
        <v>52</v>
      </c>
      <c r="E36" s="8" t="s">
        <v>52</v>
      </c>
      <c r="F36" s="8" t="s">
        <v>145</v>
      </c>
      <c r="G36" s="8" t="s">
        <v>192</v>
      </c>
      <c r="H36" s="8" t="s">
        <v>33</v>
      </c>
    </row>
    <row r="37" spans="1:8" s="3" customFormat="1" x14ac:dyDescent="0.25">
      <c r="A37" s="3" t="s">
        <v>193</v>
      </c>
      <c r="B37" s="3" t="s">
        <v>31</v>
      </c>
      <c r="C37" s="3" t="s">
        <v>194</v>
      </c>
      <c r="D37" s="3" t="s">
        <v>52</v>
      </c>
      <c r="E37" s="3" t="s">
        <v>52</v>
      </c>
      <c r="F37" s="3" t="s">
        <v>195</v>
      </c>
      <c r="G37" s="3" t="s">
        <v>196</v>
      </c>
      <c r="H37" s="3" t="s">
        <v>33</v>
      </c>
    </row>
    <row r="38" spans="1:8" s="8" customFormat="1" x14ac:dyDescent="0.25">
      <c r="A38" s="8" t="s">
        <v>197</v>
      </c>
      <c r="B38" s="8" t="s">
        <v>31</v>
      </c>
      <c r="C38" s="8" t="s">
        <v>198</v>
      </c>
      <c r="D38" s="8" t="s">
        <v>52</v>
      </c>
      <c r="E38" s="8" t="s">
        <v>52</v>
      </c>
      <c r="F38" s="8" t="s">
        <v>195</v>
      </c>
      <c r="G38" s="8" t="s">
        <v>196</v>
      </c>
      <c r="H38" s="8" t="s">
        <v>33</v>
      </c>
    </row>
    <row r="39" spans="1:8" s="3" customFormat="1" x14ac:dyDescent="0.25">
      <c r="A39" s="3" t="s">
        <v>199</v>
      </c>
      <c r="B39" s="3" t="s">
        <v>27</v>
      </c>
      <c r="C39" s="3" t="s">
        <v>200</v>
      </c>
      <c r="D39" s="3" t="s">
        <v>52</v>
      </c>
      <c r="E39" s="3" t="s">
        <v>52</v>
      </c>
      <c r="F39" s="3" t="s">
        <v>201</v>
      </c>
      <c r="G39" s="3" t="s">
        <v>196</v>
      </c>
      <c r="H39" s="3" t="s">
        <v>33</v>
      </c>
    </row>
    <row r="40" spans="1:8" s="8" customFormat="1" x14ac:dyDescent="0.25">
      <c r="A40" s="8" t="s">
        <v>202</v>
      </c>
      <c r="B40" s="8" t="s">
        <v>136</v>
      </c>
      <c r="C40" s="8" t="s">
        <v>203</v>
      </c>
      <c r="D40" s="8" t="s">
        <v>52</v>
      </c>
      <c r="E40" s="8" t="s">
        <v>52</v>
      </c>
      <c r="F40" s="8" t="s">
        <v>201</v>
      </c>
      <c r="G40" s="8" t="s">
        <v>196</v>
      </c>
      <c r="H40" s="8" t="s">
        <v>33</v>
      </c>
    </row>
    <row r="41" spans="1:8" s="3" customFormat="1" x14ac:dyDescent="0.25">
      <c r="A41" s="3" t="s">
        <v>204</v>
      </c>
      <c r="B41" s="3" t="s">
        <v>27</v>
      </c>
      <c r="C41" s="3" t="s">
        <v>205</v>
      </c>
      <c r="D41" s="3" t="s">
        <v>52</v>
      </c>
      <c r="E41" s="3" t="s">
        <v>52</v>
      </c>
      <c r="F41" s="3" t="s">
        <v>195</v>
      </c>
      <c r="G41" s="3" t="s">
        <v>196</v>
      </c>
      <c r="H41" s="3" t="s">
        <v>33</v>
      </c>
    </row>
    <row r="42" spans="1:8" s="8" customFormat="1" x14ac:dyDescent="0.25">
      <c r="A42" s="8" t="s">
        <v>206</v>
      </c>
      <c r="B42" s="8" t="s">
        <v>27</v>
      </c>
      <c r="C42" s="8" t="s">
        <v>207</v>
      </c>
      <c r="D42" s="8" t="s">
        <v>52</v>
      </c>
      <c r="E42" s="8" t="s">
        <v>52</v>
      </c>
      <c r="F42" s="8" t="s">
        <v>208</v>
      </c>
      <c r="G42" s="8" t="s">
        <v>196</v>
      </c>
      <c r="H42" s="8" t="s">
        <v>33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42" customWidth="1"/>
    <col min="2" max="2" width="22" customWidth="1"/>
  </cols>
  <sheetData>
    <row r="1" spans="1:2" s="4" customFormat="1" x14ac:dyDescent="0.25">
      <c r="A1" s="4" t="s">
        <v>209</v>
      </c>
      <c r="B1" s="4" t="s">
        <v>210</v>
      </c>
    </row>
    <row r="2" spans="1:2" x14ac:dyDescent="0.25">
      <c r="A2" t="s">
        <v>211</v>
      </c>
      <c r="B2" s="5">
        <f>COUNTA('Code Register'!A2:A400)</f>
      </c>
    </row>
    <row r="3" spans="1:2" x14ac:dyDescent="0.25">
      <c r="A3" t="s">
        <v>212</v>
      </c>
      <c r="B3" s="5">
        <f>COUNTIF('Code Register'!B2:B400,"Service")</f>
      </c>
    </row>
    <row r="4" spans="1:2" x14ac:dyDescent="0.25">
      <c r="A4" t="s">
        <v>213</v>
      </c>
      <c r="B4" s="5">
        <f>COUNTIF('Code Register'!B2:B400,"Renderer")</f>
      </c>
    </row>
    <row r="5" spans="1:2" x14ac:dyDescent="0.25">
      <c r="A5" t="s">
        <v>214</v>
      </c>
      <c r="B5" s="5">
        <f>COUNTIF('Code Register'!B2:B400,"Tooling")</f>
      </c>
    </row>
    <row r="6" spans="1:2" x14ac:dyDescent="0.25">
      <c r="A6" t="s">
        <v>215</v>
      </c>
      <c r="B6" s="5">
        <f>COUNTIF('Code Register'!H2:H400,"Done")</f>
      </c>
    </row>
    <row r="7" spans="1:2" x14ac:dyDescent="0.25">
      <c r="A7" t="s">
        <v>216</v>
      </c>
      <c r="B7" s="5">
        <f>ROUND(COUNTIF('Code Register'!H2:H400,"Done")/COUNTA('Code Register'!A2:A400)*100,1)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Legend</vt:lpstr>
      <vt:lpstr>Code Register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2026-08-01T07:50:12Z</dcterms:created>
  <dcterms:modified xsi:type="dcterms:W3CDTF">2026-08-01T07:50:12Z</dcterms:modified>
</cp:coreProperties>
</file>