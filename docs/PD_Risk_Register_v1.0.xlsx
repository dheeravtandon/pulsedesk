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egend" state="visible" r:id="rId5"/>
    <sheet sheetId="3" name="Risk Register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<sst xmlns="http://schemas.openxmlformats.org/spreadsheetml/2006/main" count="219" uniqueCount="146">
  <si>
    <t>PulseDesk — Risk Register</t>
  </si>
  <si>
    <t>Document ID</t>
  </si>
  <si>
    <t>PD-RSK-001</t>
  </si>
  <si>
    <t>Version</t>
  </si>
  <si>
    <t>1.0</t>
  </si>
  <si>
    <t>Date</t>
  </si>
  <si>
    <t>2026-08-01</t>
  </si>
  <si>
    <t>Prepared by</t>
  </si>
  <si>
    <t>TandSol</t>
  </si>
  <si>
    <t>Status</t>
  </si>
  <si>
    <t>Living</t>
  </si>
  <si>
    <t>Related documents</t>
  </si>
  <si>
    <t>PD-CHR-001, PD-PMP-001, PD-RTM-001</t>
  </si>
  <si>
    <t>Classification</t>
  </si>
  <si>
    <t>Internal</t>
  </si>
  <si>
    <t>Revision note</t>
  </si>
  <si>
    <t>v1.0 — initial baseline issued with the first working build.</t>
  </si>
  <si>
    <t>Scoring key</t>
  </si>
  <si>
    <t/>
  </si>
  <si>
    <t>Score</t>
  </si>
  <si>
    <t>Likelihood × Impact, computed by formula</t>
  </si>
  <si>
    <t>High</t>
  </si>
  <si>
    <t>Score 15 or above — needs an owner and a dated action</t>
  </si>
  <si>
    <t>Medium</t>
  </si>
  <si>
    <t>Score 8 to 14 — mitigate and monitor</t>
  </si>
  <si>
    <t>Low</t>
  </si>
  <si>
    <t>Score 1 to 7 — accept and review at the next cycle</t>
  </si>
  <si>
    <t>Likelihood</t>
  </si>
  <si>
    <t>1</t>
  </si>
  <si>
    <t>Rare</t>
  </si>
  <si>
    <t>2</t>
  </si>
  <si>
    <t>Unlikely</t>
  </si>
  <si>
    <t>3</t>
  </si>
  <si>
    <t>Possible</t>
  </si>
  <si>
    <t>4</t>
  </si>
  <si>
    <t>Likely</t>
  </si>
  <si>
    <t>5</t>
  </si>
  <si>
    <t>Almost certain</t>
  </si>
  <si>
    <t>Impact</t>
  </si>
  <si>
    <t>Negligible</t>
  </si>
  <si>
    <t>Minor</t>
  </si>
  <si>
    <t>Moderate</t>
  </si>
  <si>
    <t>Major</t>
  </si>
  <si>
    <t>Severe</t>
  </si>
  <si>
    <t>Response</t>
  </si>
  <si>
    <t>Avoid</t>
  </si>
  <si>
    <t>Remove the exposure</t>
  </si>
  <si>
    <t>Mitigate</t>
  </si>
  <si>
    <t>Reduce likelihood or impact</t>
  </si>
  <si>
    <t>Transfer</t>
  </si>
  <si>
    <t>Shift to another party</t>
  </si>
  <si>
    <t>Accept</t>
  </si>
  <si>
    <t>Tolerate with monitoring</t>
  </si>
  <si>
    <t>Risk ID</t>
  </si>
  <si>
    <t>Category</t>
  </si>
  <si>
    <t>Description</t>
  </si>
  <si>
    <t>Cause/Trigger</t>
  </si>
  <si>
    <t>Likelihood (1-5)</t>
  </si>
  <si>
    <t>Impact (1-5)</t>
  </si>
  <si>
    <t>Severity</t>
  </si>
  <si>
    <t>Mitigation</t>
  </si>
  <si>
    <t>Owner</t>
  </si>
  <si>
    <t>Target Date</t>
  </si>
  <si>
    <t>RSK-001</t>
  </si>
  <si>
    <t>Technical</t>
  </si>
  <si>
    <t>Yahoo Finance chart endpoint starts requiring a crumb/cookie or blocks the client</t>
  </si>
  <si>
    <t>Undocumented API hardening</t>
  </si>
  <si>
    <t>Quotes, indices and hype radar go blank</t>
  </si>
  <si>
    <t>Stooq CSV fallback is wired for US tickers; TTL cache serves the last good value; add a second provider (Twelve Data free tier) if failures persist</t>
  </si>
  <si>
    <t>Open</t>
  </si>
  <si>
    <t>2026-09-15</t>
  </si>
  <si>
    <t>RSK-002</t>
  </si>
  <si>
    <t>Binance API is geo-blocked or rate-limits the rolling-window endpoint</t>
  </si>
  <si>
    <t>Regional restrictions or weight overrun</t>
  </si>
  <si>
    <t>Crypto pump table degrades to a 1-hour CoinGecko proxy</t>
  </si>
  <si>
    <t>CoinGecko fallback already implemented and labelled in the UI; request chunking keeps weight under the per-minute cap</t>
  </si>
  <si>
    <t>RSK-003</t>
  </si>
  <si>
    <t>An RSS publisher changes feed URL or format</t>
  </si>
  <si>
    <t>Publisher CMS migration</t>
  </si>
  <si>
    <t>One of eight sources drops out of the wire</t>
  </si>
  <si>
    <t>Per-feed failures are isolated by the pool; the wire still renders from the remaining sources</t>
  </si>
  <si>
    <t>2026-10-01</t>
  </si>
  <si>
    <t>RSK-004</t>
  </si>
  <si>
    <t>Product</t>
  </si>
  <si>
    <t>Users read the RISE/FALL badge as a price prediction</t>
  </si>
  <si>
    <t>Label ambiguity</t>
  </si>
  <si>
    <t>Misinformed trades, reputational harm</t>
  </si>
  <si>
    <t>Handbook and in-app footer state it is headline tone, not a forecast; confidence bar shown alongside; no buy/sell language used</t>
  </si>
  <si>
    <t>2026-09-01</t>
  </si>
  <si>
    <t>RSK-005</t>
  </si>
  <si>
    <t>Sentiment lexicon misclassifies sarcasm, negation chains or non-English headlines</t>
  </si>
  <si>
    <t>Rule-based classifier limits</t>
  </si>
  <si>
    <t>Wrong direction call on individual items</t>
  </si>
  <si>
    <t>Negation window and hedge damping implemented; confidence surfaces uncertainty; review lexicon quarterly against sampled headlines</t>
  </si>
  <si>
    <t>2026-11-01</t>
  </si>
  <si>
    <t>RSK-006</t>
  </si>
  <si>
    <t>Data</t>
  </si>
  <si>
    <t>Corporate actions (splits, bonuses) distort average buy price and P&amp;L</t>
  </si>
  <si>
    <t>No corporate-action feed</t>
  </si>
  <si>
    <t>Overstated or understated returns on affected holdings</t>
  </si>
  <si>
    <t>Holdings are user-editable so the average price can be corrected; a corporate-action strip is on the roadmap</t>
  </si>
  <si>
    <t>2026-12-01</t>
  </si>
  <si>
    <t>RSK-007</t>
  </si>
  <si>
    <t>FX cross unavailable, leaving foreign holdings valued at a 1:1 rate</t>
  </si>
  <si>
    <t>Yahoo FX symbol failure</t>
  </si>
  <si>
    <t>Materially wrong net worth</t>
  </si>
  <si>
    <t>fxRate falls back to 1 and the failure is listed in the status bar; cache the last known cross across restarts (planned)</t>
  </si>
  <si>
    <t>2026-09-30</t>
  </si>
  <si>
    <t>RSK-008</t>
  </si>
  <si>
    <t>Security</t>
  </si>
  <si>
    <t>Malicious content in a headline attempts script injection into the renderer</t>
  </si>
  <si>
    <t>Untrusted third-party text</t>
  </si>
  <si>
    <t>Renderer compromise</t>
  </si>
  <si>
    <t>All remote text is HTML-escaped, CSP blocks inline and remote scripts, node integration is off</t>
  </si>
  <si>
    <t>Closed</t>
  </si>
  <si>
    <t>RSK-009</t>
  </si>
  <si>
    <t>Privacy</t>
  </si>
  <si>
    <t>IP geolocation lookup discloses approximate user location to a third party</t>
  </si>
  <si>
    <t>Weather needs coordinates</t>
  </si>
  <si>
    <t>Privacy expectation mismatch</t>
  </si>
  <si>
    <t>Manual latitude/longitude override in settings bypasses the lookup entirely; documented in the retention policy</t>
  </si>
  <si>
    <t>RSK-010</t>
  </si>
  <si>
    <t>Operational</t>
  </si>
  <si>
    <t>Always-on-top window obscures other applications during screen sharing</t>
  </si>
  <si>
    <t>Pinning is the default</t>
  </si>
  <si>
    <t>User annoyance, accidental data exposure on shared screens</t>
  </si>
  <si>
    <t>Ctrl+Alt+P hides instantly, tray toggles pinning, opacity and click-through modes available</t>
  </si>
  <si>
    <t>RSK-011</t>
  </si>
  <si>
    <t>Electron major-version upgrade breaks transparency or always-on-top behaviour on Windows</t>
  </si>
  <si>
    <t>Upstream Chromium changes</t>
  </si>
  <si>
    <t>Widget stops behaving like a widget</t>
  </si>
  <si>
    <t>Version pinned in package.json; smoke-test pinning and transparency before any upgrade</t>
  </si>
  <si>
    <t>2027-01-15</t>
  </si>
  <si>
    <t>RSK-012</t>
  </si>
  <si>
    <t>Single maintainer — no cover for defect response</t>
  </si>
  <si>
    <t>Solo project</t>
  </si>
  <si>
    <t>Slow fixes if the maintainer is unavailable</t>
  </si>
  <si>
    <t>Codebase kept dependency-light and documented so a second developer can pick it up from the Code Register</t>
  </si>
  <si>
    <t>Metric</t>
  </si>
  <si>
    <t>Value</t>
  </si>
  <si>
    <t>Total risks</t>
  </si>
  <si>
    <t>High severity</t>
  </si>
  <si>
    <t>Medium severity</t>
  </si>
  <si>
    <t>Low severity</t>
  </si>
  <si>
    <t>Average score</t>
  </si>
  <si>
    <t>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</si>
</sst>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0152B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B2E7E"/>
      </patternFill>
    </fill>
    <fill>
      <patternFill patternType="solid">
        <fgColor rgb="FFF2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2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2" customWidth="1"/>
    <col min="2" max="2" width="24" customWidth="1"/>
    <col min="3" max="3" width="84" customWidth="1"/>
  </cols>
  <sheetData>
    <row r="1" spans="1:1" x14ac:dyDescent="0.25">
      <c r="A1" s="4" t="s">
        <v>17</v>
      </c>
    </row>
    <row r="2" spans="1:3" x14ac:dyDescent="0.25">
      <c r="A2" t="s">
        <v>18</v>
      </c>
      <c r="B2" s="5" t="s">
        <v>19</v>
      </c>
      <c r="C2" s="6" t="s">
        <v>20</v>
      </c>
    </row>
    <row r="3" spans="1:3" x14ac:dyDescent="0.25">
      <c r="A3" t="s">
        <v>18</v>
      </c>
      <c r="B3" s="5" t="s">
        <v>21</v>
      </c>
      <c r="C3" s="6" t="s">
        <v>22</v>
      </c>
    </row>
    <row r="4" spans="1:3" x14ac:dyDescent="0.25">
      <c r="A4" t="s">
        <v>18</v>
      </c>
      <c r="B4" s="5" t="s">
        <v>23</v>
      </c>
      <c r="C4" s="6" t="s">
        <v>24</v>
      </c>
    </row>
    <row r="5" spans="1:3" x14ac:dyDescent="0.25">
      <c r="A5" t="s">
        <v>18</v>
      </c>
      <c r="B5" s="5" t="s">
        <v>25</v>
      </c>
      <c r="C5" s="6" t="s">
        <v>26</v>
      </c>
    </row>
    <row r="7" spans="1:1" x14ac:dyDescent="0.25">
      <c r="A7" s="4" t="s">
        <v>27</v>
      </c>
    </row>
    <row r="8" spans="1:3" x14ac:dyDescent="0.25">
      <c r="A8" t="s">
        <v>18</v>
      </c>
      <c r="B8" s="5" t="s">
        <v>28</v>
      </c>
      <c r="C8" s="6" t="s">
        <v>29</v>
      </c>
    </row>
    <row r="9" spans="1:3" x14ac:dyDescent="0.25">
      <c r="A9" t="s">
        <v>18</v>
      </c>
      <c r="B9" s="5" t="s">
        <v>30</v>
      </c>
      <c r="C9" s="6" t="s">
        <v>31</v>
      </c>
    </row>
    <row r="10" spans="1:3" x14ac:dyDescent="0.25">
      <c r="A10" t="s">
        <v>18</v>
      </c>
      <c r="B10" s="5" t="s">
        <v>32</v>
      </c>
      <c r="C10" s="6" t="s">
        <v>33</v>
      </c>
    </row>
    <row r="11" spans="1:3" x14ac:dyDescent="0.25">
      <c r="A11" t="s">
        <v>18</v>
      </c>
      <c r="B11" s="5" t="s">
        <v>34</v>
      </c>
      <c r="C11" s="6" t="s">
        <v>35</v>
      </c>
    </row>
    <row r="12" spans="1:3" x14ac:dyDescent="0.25">
      <c r="A12" t="s">
        <v>18</v>
      </c>
      <c r="B12" s="5" t="s">
        <v>36</v>
      </c>
      <c r="C12" s="6" t="s">
        <v>37</v>
      </c>
    </row>
    <row r="14" spans="1:1" x14ac:dyDescent="0.25">
      <c r="A14" s="4" t="s">
        <v>38</v>
      </c>
    </row>
    <row r="15" spans="1:3" x14ac:dyDescent="0.25">
      <c r="A15" t="s">
        <v>18</v>
      </c>
      <c r="B15" s="5" t="s">
        <v>28</v>
      </c>
      <c r="C15" s="6" t="s">
        <v>39</v>
      </c>
    </row>
    <row r="16" spans="1:3" x14ac:dyDescent="0.25">
      <c r="A16" t="s">
        <v>18</v>
      </c>
      <c r="B16" s="5" t="s">
        <v>30</v>
      </c>
      <c r="C16" s="6" t="s">
        <v>40</v>
      </c>
    </row>
    <row r="17" spans="1:3" x14ac:dyDescent="0.25">
      <c r="A17" t="s">
        <v>18</v>
      </c>
      <c r="B17" s="5" t="s">
        <v>32</v>
      </c>
      <c r="C17" s="6" t="s">
        <v>41</v>
      </c>
    </row>
    <row r="18" spans="1:3" x14ac:dyDescent="0.25">
      <c r="A18" t="s">
        <v>18</v>
      </c>
      <c r="B18" s="5" t="s">
        <v>34</v>
      </c>
      <c r="C18" s="6" t="s">
        <v>42</v>
      </c>
    </row>
    <row r="19" spans="1:3" x14ac:dyDescent="0.25">
      <c r="A19" t="s">
        <v>18</v>
      </c>
      <c r="B19" s="5" t="s">
        <v>36</v>
      </c>
      <c r="C19" s="6" t="s">
        <v>43</v>
      </c>
    </row>
    <row r="21" spans="1:1" x14ac:dyDescent="0.25">
      <c r="A21" s="4" t="s">
        <v>44</v>
      </c>
    </row>
    <row r="22" spans="1:3" x14ac:dyDescent="0.25">
      <c r="A22" t="s">
        <v>18</v>
      </c>
      <c r="B22" s="5" t="s">
        <v>45</v>
      </c>
      <c r="C22" s="6" t="s">
        <v>46</v>
      </c>
    </row>
    <row r="23" spans="1:3" x14ac:dyDescent="0.25">
      <c r="A23" t="s">
        <v>18</v>
      </c>
      <c r="B23" s="5" t="s">
        <v>47</v>
      </c>
      <c r="C23" s="6" t="s">
        <v>48</v>
      </c>
    </row>
    <row r="24" spans="1:3" x14ac:dyDescent="0.25">
      <c r="A24" t="s">
        <v>18</v>
      </c>
      <c r="B24" s="5" t="s">
        <v>49</v>
      </c>
      <c r="C24" s="6" t="s">
        <v>50</v>
      </c>
    </row>
    <row r="25" spans="1:3" x14ac:dyDescent="0.25">
      <c r="A25" t="s">
        <v>18</v>
      </c>
      <c r="B25" s="5" t="s">
        <v>51</v>
      </c>
      <c r="C25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62" customWidth="1"/>
    <col min="4" max="4" width="30" customWidth="1"/>
    <col min="5" max="5" width="42" customWidth="1"/>
    <col min="6" max="6" width="12" customWidth="1"/>
    <col min="7" max="7" width="10" customWidth="1"/>
    <col min="8" max="8" width="8" customWidth="1"/>
    <col min="9" max="10" width="11" customWidth="1"/>
    <col min="11" max="11" width="74" customWidth="1"/>
    <col min="12" max="13" width="10" customWidth="1"/>
    <col min="14" max="14" width="13" customWidth="1"/>
  </cols>
  <sheetData>
    <row r="1" ht="30" customHeight="1" spans="1:14" s="7" customFormat="1" x14ac:dyDescent="0.25">
      <c r="A1" s="7" t="s">
        <v>53</v>
      </c>
      <c r="B1" s="7" t="s">
        <v>54</v>
      </c>
      <c r="C1" s="7" t="s">
        <v>55</v>
      </c>
      <c r="D1" s="7" t="s">
        <v>56</v>
      </c>
      <c r="E1" s="7" t="s">
        <v>38</v>
      </c>
      <c r="F1" s="7" t="s">
        <v>57</v>
      </c>
      <c r="G1" s="7" t="s">
        <v>58</v>
      </c>
      <c r="H1" s="7" t="s">
        <v>19</v>
      </c>
      <c r="I1" s="7" t="s">
        <v>59</v>
      </c>
      <c r="J1" s="7" t="s">
        <v>44</v>
      </c>
      <c r="K1" s="7" t="s">
        <v>60</v>
      </c>
      <c r="L1" s="7" t="s">
        <v>61</v>
      </c>
      <c r="M1" s="7" t="s">
        <v>9</v>
      </c>
      <c r="N1" s="7" t="s">
        <v>62</v>
      </c>
    </row>
    <row r="2" spans="1:14" s="8" customFormat="1" x14ac:dyDescent="0.25">
      <c r="A2" s="8" t="s">
        <v>63</v>
      </c>
      <c r="B2" s="8" t="s">
        <v>64</v>
      </c>
      <c r="C2" s="8" t="s">
        <v>65</v>
      </c>
      <c r="D2" s="8" t="s">
        <v>66</v>
      </c>
      <c r="E2" s="8" t="s">
        <v>67</v>
      </c>
      <c r="F2" s="8">
        <v>4</v>
      </c>
      <c r="G2" s="8">
        <v>5</v>
      </c>
      <c r="H2" s="9">
        <f>F2*G2</f>
      </c>
      <c r="I2" s="9">
        <f>IF(H2&gt;=15,"High",IF(H2&gt;=8,"Medium","Low"))</f>
      </c>
      <c r="J2" s="8" t="s">
        <v>47</v>
      </c>
      <c r="K2" s="8" t="s">
        <v>68</v>
      </c>
      <c r="L2" s="8" t="s">
        <v>61</v>
      </c>
      <c r="M2" s="8" t="s">
        <v>69</v>
      </c>
      <c r="N2" s="8" t="s">
        <v>70</v>
      </c>
    </row>
    <row r="3" spans="1:14" s="3" customFormat="1" x14ac:dyDescent="0.25">
      <c r="A3" s="3" t="s">
        <v>71</v>
      </c>
      <c r="B3" s="3" t="s">
        <v>64</v>
      </c>
      <c r="C3" s="3" t="s">
        <v>72</v>
      </c>
      <c r="D3" s="3" t="s">
        <v>73</v>
      </c>
      <c r="E3" s="3" t="s">
        <v>74</v>
      </c>
      <c r="F3" s="3">
        <v>3</v>
      </c>
      <c r="G3" s="3">
        <v>3</v>
      </c>
      <c r="H3" s="10">
        <f>F3*G3</f>
      </c>
      <c r="I3" s="10">
        <f>IF(H3&gt;=15,"High",IF(H3&gt;=8,"Medium","Low"))</f>
      </c>
      <c r="J3" s="3" t="s">
        <v>47</v>
      </c>
      <c r="K3" s="3" t="s">
        <v>75</v>
      </c>
      <c r="L3" s="3" t="s">
        <v>61</v>
      </c>
      <c r="M3" s="3" t="s">
        <v>69</v>
      </c>
      <c r="N3" s="3" t="s">
        <v>70</v>
      </c>
    </row>
    <row r="4" spans="1:14" s="8" customFormat="1" x14ac:dyDescent="0.25">
      <c r="A4" s="8" t="s">
        <v>76</v>
      </c>
      <c r="B4" s="8" t="s">
        <v>64</v>
      </c>
      <c r="C4" s="8" t="s">
        <v>77</v>
      </c>
      <c r="D4" s="8" t="s">
        <v>78</v>
      </c>
      <c r="E4" s="8" t="s">
        <v>79</v>
      </c>
      <c r="F4" s="8">
        <v>4</v>
      </c>
      <c r="G4" s="8">
        <v>2</v>
      </c>
      <c r="H4" s="9">
        <f>F4*G4</f>
      </c>
      <c r="I4" s="9">
        <f>IF(H4&gt;=15,"High",IF(H4&gt;=8,"Medium","Low"))</f>
      </c>
      <c r="J4" s="8" t="s">
        <v>51</v>
      </c>
      <c r="K4" s="8" t="s">
        <v>80</v>
      </c>
      <c r="L4" s="8" t="s">
        <v>61</v>
      </c>
      <c r="M4" s="8" t="s">
        <v>69</v>
      </c>
      <c r="N4" s="8" t="s">
        <v>81</v>
      </c>
    </row>
    <row r="5" spans="1:14" s="3" customFormat="1" x14ac:dyDescent="0.25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  <c r="F5" s="3">
        <v>3</v>
      </c>
      <c r="G5" s="3">
        <v>5</v>
      </c>
      <c r="H5" s="10">
        <f>F5*G5</f>
      </c>
      <c r="I5" s="10">
        <f>IF(H5&gt;=15,"High",IF(H5&gt;=8,"Medium","Low"))</f>
      </c>
      <c r="J5" s="3" t="s">
        <v>47</v>
      </c>
      <c r="K5" s="3" t="s">
        <v>87</v>
      </c>
      <c r="L5" s="3" t="s">
        <v>61</v>
      </c>
      <c r="M5" s="3" t="s">
        <v>69</v>
      </c>
      <c r="N5" s="3" t="s">
        <v>88</v>
      </c>
    </row>
    <row r="6" spans="1:14" s="8" customFormat="1" x14ac:dyDescent="0.25">
      <c r="A6" s="8" t="s">
        <v>89</v>
      </c>
      <c r="B6" s="8" t="s">
        <v>64</v>
      </c>
      <c r="C6" s="8" t="s">
        <v>90</v>
      </c>
      <c r="D6" s="8" t="s">
        <v>91</v>
      </c>
      <c r="E6" s="8" t="s">
        <v>92</v>
      </c>
      <c r="F6" s="8">
        <v>4</v>
      </c>
      <c r="G6" s="8">
        <v>3</v>
      </c>
      <c r="H6" s="9">
        <f>F6*G6</f>
      </c>
      <c r="I6" s="9">
        <f>IF(H6&gt;=15,"High",IF(H6&gt;=8,"Medium","Low"))</f>
      </c>
      <c r="J6" s="8" t="s">
        <v>47</v>
      </c>
      <c r="K6" s="8" t="s">
        <v>93</v>
      </c>
      <c r="L6" s="8" t="s">
        <v>61</v>
      </c>
      <c r="M6" s="8" t="s">
        <v>69</v>
      </c>
      <c r="N6" s="8" t="s">
        <v>94</v>
      </c>
    </row>
    <row r="7" spans="1:14" s="3" customFormat="1" x14ac:dyDescent="0.25">
      <c r="A7" s="3" t="s">
        <v>95</v>
      </c>
      <c r="B7" s="3" t="s">
        <v>96</v>
      </c>
      <c r="C7" s="3" t="s">
        <v>97</v>
      </c>
      <c r="D7" s="3" t="s">
        <v>98</v>
      </c>
      <c r="E7" s="3" t="s">
        <v>99</v>
      </c>
      <c r="F7" s="3">
        <v>3</v>
      </c>
      <c r="G7" s="3">
        <v>4</v>
      </c>
      <c r="H7" s="10">
        <f>F7*G7</f>
      </c>
      <c r="I7" s="10">
        <f>IF(H7&gt;=15,"High",IF(H7&gt;=8,"Medium","Low"))</f>
      </c>
      <c r="J7" s="3" t="s">
        <v>47</v>
      </c>
      <c r="K7" s="3" t="s">
        <v>100</v>
      </c>
      <c r="L7" s="3" t="s">
        <v>61</v>
      </c>
      <c r="M7" s="3" t="s">
        <v>69</v>
      </c>
      <c r="N7" s="3" t="s">
        <v>101</v>
      </c>
    </row>
    <row r="8" spans="1:14" s="8" customFormat="1" x14ac:dyDescent="0.25">
      <c r="A8" s="8" t="s">
        <v>102</v>
      </c>
      <c r="B8" s="8" t="s">
        <v>96</v>
      </c>
      <c r="C8" s="8" t="s">
        <v>103</v>
      </c>
      <c r="D8" s="8" t="s">
        <v>104</v>
      </c>
      <c r="E8" s="8" t="s">
        <v>105</v>
      </c>
      <c r="F8" s="8">
        <v>2</v>
      </c>
      <c r="G8" s="8">
        <v>5</v>
      </c>
      <c r="H8" s="9">
        <f>F8*G8</f>
      </c>
      <c r="I8" s="9">
        <f>IF(H8&gt;=15,"High",IF(H8&gt;=8,"Medium","Low"))</f>
      </c>
      <c r="J8" s="8" t="s">
        <v>47</v>
      </c>
      <c r="K8" s="8" t="s">
        <v>106</v>
      </c>
      <c r="L8" s="8" t="s">
        <v>61</v>
      </c>
      <c r="M8" s="8" t="s">
        <v>69</v>
      </c>
      <c r="N8" s="8" t="s">
        <v>107</v>
      </c>
    </row>
    <row r="9" spans="1:14" s="3" customFormat="1" x14ac:dyDescent="0.25">
      <c r="A9" s="3" t="s">
        <v>108</v>
      </c>
      <c r="B9" s="3" t="s">
        <v>109</v>
      </c>
      <c r="C9" s="3" t="s">
        <v>110</v>
      </c>
      <c r="D9" s="3" t="s">
        <v>111</v>
      </c>
      <c r="E9" s="3" t="s">
        <v>112</v>
      </c>
      <c r="F9" s="3">
        <v>2</v>
      </c>
      <c r="G9" s="3">
        <v>5</v>
      </c>
      <c r="H9" s="10">
        <f>F9*G9</f>
      </c>
      <c r="I9" s="10">
        <f>IF(H9&gt;=15,"High",IF(H9&gt;=8,"Medium","Low"))</f>
      </c>
      <c r="J9" s="3" t="s">
        <v>47</v>
      </c>
      <c r="K9" s="3" t="s">
        <v>113</v>
      </c>
      <c r="L9" s="3" t="s">
        <v>61</v>
      </c>
      <c r="M9" s="3" t="s">
        <v>114</v>
      </c>
      <c r="N9" s="3" t="s">
        <v>6</v>
      </c>
    </row>
    <row r="10" spans="1:14" s="8" customFormat="1" x14ac:dyDescent="0.25">
      <c r="A10" s="8" t="s">
        <v>115</v>
      </c>
      <c r="B10" s="8" t="s">
        <v>116</v>
      </c>
      <c r="C10" s="8" t="s">
        <v>117</v>
      </c>
      <c r="D10" s="8" t="s">
        <v>118</v>
      </c>
      <c r="E10" s="8" t="s">
        <v>119</v>
      </c>
      <c r="F10" s="8">
        <v>3</v>
      </c>
      <c r="G10" s="8">
        <v>2</v>
      </c>
      <c r="H10" s="9">
        <f>F10*G10</f>
      </c>
      <c r="I10" s="9">
        <f>IF(H10&gt;=15,"High",IF(H10&gt;=8,"Medium","Low"))</f>
      </c>
      <c r="J10" s="8" t="s">
        <v>47</v>
      </c>
      <c r="K10" s="8" t="s">
        <v>120</v>
      </c>
      <c r="L10" s="8" t="s">
        <v>61</v>
      </c>
      <c r="M10" s="8" t="s">
        <v>69</v>
      </c>
      <c r="N10" s="8" t="s">
        <v>70</v>
      </c>
    </row>
    <row r="11" spans="1:14" s="3" customFormat="1" x14ac:dyDescent="0.25">
      <c r="A11" s="3" t="s">
        <v>121</v>
      </c>
      <c r="B11" s="3" t="s">
        <v>122</v>
      </c>
      <c r="C11" s="3" t="s">
        <v>123</v>
      </c>
      <c r="D11" s="3" t="s">
        <v>124</v>
      </c>
      <c r="E11" s="3" t="s">
        <v>125</v>
      </c>
      <c r="F11" s="3">
        <v>4</v>
      </c>
      <c r="G11" s="3">
        <v>2</v>
      </c>
      <c r="H11" s="10">
        <f>F11*G11</f>
      </c>
      <c r="I11" s="10">
        <f>IF(H11&gt;=15,"High",IF(H11&gt;=8,"Medium","Low"))</f>
      </c>
      <c r="J11" s="3" t="s">
        <v>47</v>
      </c>
      <c r="K11" s="3" t="s">
        <v>126</v>
      </c>
      <c r="L11" s="3" t="s">
        <v>61</v>
      </c>
      <c r="M11" s="3" t="s">
        <v>114</v>
      </c>
      <c r="N11" s="3" t="s">
        <v>6</v>
      </c>
    </row>
    <row r="12" spans="1:14" s="8" customFormat="1" x14ac:dyDescent="0.25">
      <c r="A12" s="8" t="s">
        <v>127</v>
      </c>
      <c r="B12" s="8" t="s">
        <v>64</v>
      </c>
      <c r="C12" s="8" t="s">
        <v>128</v>
      </c>
      <c r="D12" s="8" t="s">
        <v>129</v>
      </c>
      <c r="E12" s="8" t="s">
        <v>130</v>
      </c>
      <c r="F12" s="8">
        <v>2</v>
      </c>
      <c r="G12" s="8">
        <v>3</v>
      </c>
      <c r="H12" s="9">
        <f>F12*G12</f>
      </c>
      <c r="I12" s="9">
        <f>IF(H12&gt;=15,"High",IF(H12&gt;=8,"Medium","Low"))</f>
      </c>
      <c r="J12" s="8" t="s">
        <v>47</v>
      </c>
      <c r="K12" s="8" t="s">
        <v>131</v>
      </c>
      <c r="L12" s="8" t="s">
        <v>61</v>
      </c>
      <c r="M12" s="8" t="s">
        <v>69</v>
      </c>
      <c r="N12" s="8" t="s">
        <v>132</v>
      </c>
    </row>
    <row r="13" spans="1:14" s="3" customFormat="1" x14ac:dyDescent="0.25">
      <c r="A13" s="3" t="s">
        <v>133</v>
      </c>
      <c r="B13" s="3" t="s">
        <v>122</v>
      </c>
      <c r="C13" s="3" t="s">
        <v>134</v>
      </c>
      <c r="D13" s="3" t="s">
        <v>135</v>
      </c>
      <c r="E13" s="3" t="s">
        <v>136</v>
      </c>
      <c r="F13" s="3">
        <v>3</v>
      </c>
      <c r="G13" s="3">
        <v>3</v>
      </c>
      <c r="H13" s="10">
        <f>F13*G13</f>
      </c>
      <c r="I13" s="10">
        <f>IF(H13&gt;=15,"High",IF(H13&gt;=8,"Medium","Low"))</f>
      </c>
      <c r="J13" s="3" t="s">
        <v>51</v>
      </c>
      <c r="K13" s="3" t="s">
        <v>137</v>
      </c>
      <c r="L13" s="3" t="s">
        <v>61</v>
      </c>
      <c r="M13" s="3" t="s">
        <v>69</v>
      </c>
      <c r="N13" s="3" t="s">
        <v>101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2" customWidth="1"/>
    <col min="2" max="2" width="22" customWidth="1"/>
  </cols>
  <sheetData>
    <row r="1" spans="1:2" s="4" customFormat="1" x14ac:dyDescent="0.25">
      <c r="A1" s="4" t="s">
        <v>138</v>
      </c>
      <c r="B1" s="4" t="s">
        <v>139</v>
      </c>
    </row>
    <row r="2" spans="1:2" x14ac:dyDescent="0.25">
      <c r="A2" t="s">
        <v>140</v>
      </c>
      <c r="B2" s="5">
        <f>COUNTA('Risk Register'!A2:A200)</f>
      </c>
    </row>
    <row r="3" spans="1:2" x14ac:dyDescent="0.25">
      <c r="A3" t="s">
        <v>141</v>
      </c>
      <c r="B3" s="5">
        <f>COUNTIF('Risk Register'!I2:I200,"High")</f>
      </c>
    </row>
    <row r="4" spans="1:2" x14ac:dyDescent="0.25">
      <c r="A4" t="s">
        <v>142</v>
      </c>
      <c r="B4" s="5">
        <f>COUNTIF('Risk Register'!I2:I200,"Medium")</f>
      </c>
    </row>
    <row r="5" spans="1:2" x14ac:dyDescent="0.25">
      <c r="A5" t="s">
        <v>143</v>
      </c>
      <c r="B5" s="5">
        <f>COUNTIF('Risk Register'!I2:I200,"Low")</f>
      </c>
    </row>
    <row r="6" spans="1:2" x14ac:dyDescent="0.25">
      <c r="A6" t="s">
        <v>69</v>
      </c>
      <c r="B6" s="5">
        <f>COUNTIF('Risk Register'!M2:M200,"Open")</f>
      </c>
    </row>
    <row r="7" spans="1:2" x14ac:dyDescent="0.25">
      <c r="A7" t="s">
        <v>114</v>
      </c>
      <c r="B7" s="5">
        <f>COUNTIF('Risk Register'!M2:M200,"Closed")</f>
      </c>
    </row>
    <row r="8" spans="1:2" x14ac:dyDescent="0.25">
      <c r="A8" t="s">
        <v>144</v>
      </c>
      <c r="B8" s="5">
        <f>ROUND(AVERAGE('Risk Register'!H2:H200),2)</f>
      </c>
    </row>
    <row r="9" spans="1:2" x14ac:dyDescent="0.25">
      <c r="A9" t="s">
        <v>145</v>
      </c>
      <c r="B9" s="5">
        <f>MAX('Risk Register'!H2:H200)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Legend</vt:lpstr>
      <vt:lpstr>Risk Register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2026-08-01T02:57:35Z</dcterms:created>
  <dcterms:modified xsi:type="dcterms:W3CDTF">2026-08-01T02:57:35Z</dcterms:modified>
</cp:coreProperties>
</file>