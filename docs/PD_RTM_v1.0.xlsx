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egend" state="visible" r:id="rId5"/>
    <sheet sheetId="3" name="Functional RTM" state="visible" r:id="rId6"/>
    <sheet sheetId="4" name="Security RTM" state="visible" r:id="rId7"/>
    <sheet sheetId="5" name="NFR RTM" state="visible" r:id="rId8"/>
    <sheet sheetId="6" name="Role Ref" state="visible" r:id="rId9"/>
    <sheet sheetId="7" name="Summary" state="visible" r:id="rId10"/>
  </sheets>
  <calcPr calcId="171027"/>
</workbook>
</file>

<file path=xl/sharedStrings.xml><?xml version="1.0" encoding="utf-8"?>
<sst xmlns="http://schemas.openxmlformats.org/spreadsheetml/2006/main" count="693" uniqueCount="295">
  <si>
    <t>PulseDesk — Requirements Traceability Matrix</t>
  </si>
  <si>
    <t>Document ID</t>
  </si>
  <si>
    <t>PD-RTM-001</t>
  </si>
  <si>
    <t>Version</t>
  </si>
  <si>
    <t>1.0</t>
  </si>
  <si>
    <t>Date</t>
  </si>
  <si>
    <t>2026-08-01</t>
  </si>
  <si>
    <t>Prepared by</t>
  </si>
  <si>
    <t>TandSol</t>
  </si>
  <si>
    <t>Status</t>
  </si>
  <si>
    <t>Baselined</t>
  </si>
  <si>
    <t>Related documents</t>
  </si>
  <si>
    <t>PD-CHR-001, PD-SDD-001, PD-CR-001, PD-PMP-001</t>
  </si>
  <si>
    <t>Classification</t>
  </si>
  <si>
    <t>Internal</t>
  </si>
  <si>
    <t>Revision note</t>
  </si>
  <si>
    <t>v1.0 — initial baseline issued with the first working build.</t>
  </si>
  <si>
    <t>Priority (MoSCoW)</t>
  </si>
  <si>
    <t/>
  </si>
  <si>
    <t>M</t>
  </si>
  <si>
    <t>Must have — the build is not acceptable without it</t>
  </si>
  <si>
    <t>S</t>
  </si>
  <si>
    <t>Should have — important but not fatal at release</t>
  </si>
  <si>
    <t>C</t>
  </si>
  <si>
    <t>Could have — included when effort allows</t>
  </si>
  <si>
    <t>W</t>
  </si>
  <si>
    <t>Won't have this release</t>
  </si>
  <si>
    <t>Type</t>
  </si>
  <si>
    <t>FUN</t>
  </si>
  <si>
    <t>Functional</t>
  </si>
  <si>
    <t>SEC</t>
  </si>
  <si>
    <t>Security</t>
  </si>
  <si>
    <t>CMP</t>
  </si>
  <si>
    <t>Compliance</t>
  </si>
  <si>
    <t>NFR</t>
  </si>
  <si>
    <t>Non-functional</t>
  </si>
  <si>
    <t>INT</t>
  </si>
  <si>
    <t>Integration</t>
  </si>
  <si>
    <t>RPT</t>
  </si>
  <si>
    <t>Reporting</t>
  </si>
  <si>
    <t>Proposed</t>
  </si>
  <si>
    <t>Raised, not yet agreed</t>
  </si>
  <si>
    <t>Approved</t>
  </si>
  <si>
    <t>Agreed for the release</t>
  </si>
  <si>
    <t>In Design</t>
  </si>
  <si>
    <t>Being designed in the SDD</t>
  </si>
  <si>
    <t>Developed</t>
  </si>
  <si>
    <t>Code written</t>
  </si>
  <si>
    <t>Tested</t>
  </si>
  <si>
    <t>Exercised against live data</t>
  </si>
  <si>
    <t>Verified</t>
  </si>
  <si>
    <t>Confirmed working in the running app</t>
  </si>
  <si>
    <t>Conventions</t>
  </si>
  <si>
    <t>Design Ref</t>
  </si>
  <si>
    <t>Section of PD-SDD-001 that realises the requirement</t>
  </si>
  <si>
    <t>Deprecated rows</t>
  </si>
  <si>
    <t>Kept in place with a [DEPRECATED — reason] prefix, never deleted</t>
  </si>
  <si>
    <t>Req ID</t>
  </si>
  <si>
    <t>Module</t>
  </si>
  <si>
    <t>Description</t>
  </si>
  <si>
    <t>User Role</t>
  </si>
  <si>
    <t>Pri</t>
  </si>
  <si>
    <t>Source</t>
  </si>
  <si>
    <t>Test Ref</t>
  </si>
  <si>
    <t>Compliance Tag</t>
  </si>
  <si>
    <t>FUN-001</t>
  </si>
  <si>
    <t>Hype Radar</t>
  </si>
  <si>
    <t>Show the 5 most-hyped stocks with price, day change and sparkline</t>
  </si>
  <si>
    <t>Investor</t>
  </si>
  <si>
    <t>Charter §3.1</t>
  </si>
  <si>
    <t>SDD §4.2</t>
  </si>
  <si>
    <t>TC-F-001</t>
  </si>
  <si>
    <t>—</t>
  </si>
  <si>
    <t>FUN-002</t>
  </si>
  <si>
    <t>Rank hype as 0.45×volume-ratio + 0.35×|move| + 0.20×news mentions, min-max normalised</t>
  </si>
  <si>
    <t>TC-F-002</t>
  </si>
  <si>
    <t>FUN-003</t>
  </si>
  <si>
    <t>Build the candidate universe from Yahoo trending, curated IN/US liquid names, holdings and headline tickers</t>
  </si>
  <si>
    <t>System</t>
  </si>
  <si>
    <t>TC-F-003</t>
  </si>
  <si>
    <t>FUN-004</t>
  </si>
  <si>
    <t>Portfolio</t>
  </si>
  <si>
    <t>Add, merge (weighted average), edit and remove holdings</t>
  </si>
  <si>
    <t>Charter §3.2</t>
  </si>
  <si>
    <t>SDD §4.5</t>
  </si>
  <si>
    <t>TC-F-004</t>
  </si>
  <si>
    <t>FUN-005</t>
  </si>
  <si>
    <t>Compute invested, current value, unrealised P&amp;L and P&amp;L% per holding and in total</t>
  </si>
  <si>
    <t>TC-F-005</t>
  </si>
  <si>
    <t>FUN-006</t>
  </si>
  <si>
    <t>Compute day P&amp;L from previous close and show it against net worth</t>
  </si>
  <si>
    <t>TC-F-006</t>
  </si>
  <si>
    <t>FUN-007</t>
  </si>
  <si>
    <t>Book realised P&amp;L into a trade log when a holding is closed with a sell price</t>
  </si>
  <si>
    <t>TC-F-007</t>
  </si>
  <si>
    <t>FUN-008</t>
  </si>
  <si>
    <t>Convert every holding to a user-selected base currency using the live FX cross</t>
  </si>
  <si>
    <t>TC-F-008</t>
  </si>
  <si>
    <t>FUN-009</t>
  </si>
  <si>
    <t>Show allocation weights as a donut with a legend of the top 8 positions</t>
  </si>
  <si>
    <t>SDD §5.3</t>
  </si>
  <si>
    <t>TC-F-009</t>
  </si>
  <si>
    <t>FUN-010</t>
  </si>
  <si>
    <t>Persist a daily net-worth snapshot and plot the trend</t>
  </si>
  <si>
    <t>TC-F-010</t>
  </si>
  <si>
    <t>FUN-011</t>
  </si>
  <si>
    <t>Track idle cash separately and include it in net worth</t>
  </si>
  <si>
    <t>TC-F-011</t>
  </si>
  <si>
    <t>FUN-012</t>
  </si>
  <si>
    <t>News Wire</t>
  </si>
  <si>
    <t>Aggregate 8 RSS sources, de-duplicate by normalised headline and show the top 15</t>
  </si>
  <si>
    <t>Charter §3.3</t>
  </si>
  <si>
    <t>SDD §4.3</t>
  </si>
  <si>
    <t>TC-F-012</t>
  </si>
  <si>
    <t>FUN-013</t>
  </si>
  <si>
    <t>Classify each headline as RISE / FALL / FLAT with a confidence percentage</t>
  </si>
  <si>
    <t>SDD §4.4</t>
  </si>
  <si>
    <t>TC-F-013</t>
  </si>
  <si>
    <t>FUN-014</t>
  </si>
  <si>
    <t>Extract mentioned tickers from headlines and feed the counts into the hype scorer</t>
  </si>
  <si>
    <t>TC-F-014</t>
  </si>
  <si>
    <t>FUN-015</t>
  </si>
  <si>
    <t>Filter the wire by direction (All / Rise / Fall)</t>
  </si>
  <si>
    <t>TC-F-015</t>
  </si>
  <si>
    <t>FUN-016</t>
  </si>
  <si>
    <t>Open a headline in the system browser, never inside the app window</t>
  </si>
  <si>
    <t>SDD §6.3</t>
  </si>
  <si>
    <t>TC-S-004</t>
  </si>
  <si>
    <t>FUN-017</t>
  </si>
  <si>
    <t>Crypto</t>
  </si>
  <si>
    <t>Rank the 10 strongest USDT pairs over an exact trailing 5-hour window</t>
  </si>
  <si>
    <t>Crypto watcher</t>
  </si>
  <si>
    <t>Charter §3.4</t>
  </si>
  <si>
    <t>SDD §4.6</t>
  </si>
  <si>
    <t>TC-F-017</t>
  </si>
  <si>
    <t>FUN-018</t>
  </si>
  <si>
    <t>Exclude leveraged tokens, stablecoin pairs and pairs under $3M of 24h quote volume</t>
  </si>
  <si>
    <t>TC-F-018</t>
  </si>
  <si>
    <t>FUN-019</t>
  </si>
  <si>
    <t>Show Fear &amp; Greed, total market cap, BTC dominance and 24h cap change</t>
  </si>
  <si>
    <t>TC-F-019</t>
  </si>
  <si>
    <t>FUN-020</t>
  </si>
  <si>
    <t>Markets</t>
  </si>
  <si>
    <t>Scroll a live tape of Indian and US indices, commodities, USD/INR and BTC</t>
  </si>
  <si>
    <t>Charter §3.5</t>
  </si>
  <si>
    <t>SDD §4.1</t>
  </si>
  <si>
    <t>TC-F-020</t>
  </si>
  <si>
    <t>FUN-021</t>
  </si>
  <si>
    <t>Show open/closed state and countdown for NSE, NYSE, LSE, TSE and crypto</t>
  </si>
  <si>
    <t>Desk operator</t>
  </si>
  <si>
    <t>SDD §4.7</t>
  </si>
  <si>
    <t>TC-F-021</t>
  </si>
  <si>
    <t>FUN-022</t>
  </si>
  <si>
    <t>Derive advance/decline breadth and a −100…+100 pulse mood score</t>
  </si>
  <si>
    <t>TC-F-022</t>
  </si>
  <si>
    <t>FUN-023</t>
  </si>
  <si>
    <t>Weather</t>
  </si>
  <si>
    <t>Show current temperature, feels-like, humidity, wind, rain chance, UV, AQI and 8 hourly steps</t>
  </si>
  <si>
    <t>Charter §3.6</t>
  </si>
  <si>
    <t>SDD §4.8</t>
  </si>
  <si>
    <t>TC-F-023</t>
  </si>
  <si>
    <t>FUN-024</t>
  </si>
  <si>
    <t>Resolve location by IP with a manual latitude/longitude override</t>
  </si>
  <si>
    <t>TC-F-024</t>
  </si>
  <si>
    <t>FUN-025</t>
  </si>
  <si>
    <t>Shell</t>
  </si>
  <si>
    <t>Keep the window above other applications and optionally on every virtual desktop</t>
  </si>
  <si>
    <t>Charter §3.7</t>
  </si>
  <si>
    <t>SDD §3.2</t>
  </si>
  <si>
    <t>TC-F-025</t>
  </si>
  <si>
    <t>FUN-026</t>
  </si>
  <si>
    <t>Offer tray control for show/hide, pinning, opacity, click-through and data folder</t>
  </si>
  <si>
    <t>SDD §3.3</t>
  </si>
  <si>
    <t>TC-F-026</t>
  </si>
  <si>
    <t>FUN-027</t>
  </si>
  <si>
    <t>Register Ctrl+Alt+P (toggle) and Ctrl+Alt+R (refresh) global shortcuts</t>
  </si>
  <si>
    <t>TC-F-027</t>
  </si>
  <si>
    <t>FUN-028</t>
  </si>
  <si>
    <t>Refresh on tiers — 60 s market, 5 min news/hype, 30 min weather</t>
  </si>
  <si>
    <t>SDD §3.4</t>
  </si>
  <si>
    <t>TC-F-028</t>
  </si>
  <si>
    <t>FUN-029</t>
  </si>
  <si>
    <t>Persist window bounds, pinning, opacity and compact mode between sessions</t>
  </si>
  <si>
    <t>SDD §3.6</t>
  </si>
  <si>
    <t>TC-F-029</t>
  </si>
  <si>
    <t>FUN-030</t>
  </si>
  <si>
    <t>Validate a symbol against the live quote service before a holding is saved</t>
  </si>
  <si>
    <t>TC-F-030</t>
  </si>
  <si>
    <t>FUN-031</t>
  </si>
  <si>
    <t>Offer a two-column compact layout for narrow placements</t>
  </si>
  <si>
    <t>SDD §5.2</t>
  </si>
  <si>
    <t>TC-F-031</t>
  </si>
  <si>
    <t>SEC-001</t>
  </si>
  <si>
    <t>Renderer runs with contextIsolation on and nodeIntegration off</t>
  </si>
  <si>
    <t>OWASP Electron</t>
  </si>
  <si>
    <t>SDD §6.1</t>
  </si>
  <si>
    <t>TC-S-001</t>
  </si>
  <si>
    <t>CERT-In</t>
  </si>
  <si>
    <t>SEC-002</t>
  </si>
  <si>
    <t>Renderer enforces a CSP of default-src self; script-src self</t>
  </si>
  <si>
    <t>TC-S-002</t>
  </si>
  <si>
    <t>SEC-003</t>
  </si>
  <si>
    <t>Renderer</t>
  </si>
  <si>
    <t>Every remote string is HTML-escaped before insertion into the DOM</t>
  </si>
  <si>
    <t>OWASP A03</t>
  </si>
  <si>
    <t>SDD §6.2</t>
  </si>
  <si>
    <t>TC-S-003</t>
  </si>
  <si>
    <t>SEC-004</t>
  </si>
  <si>
    <t>window.open is denied; links open through shell.openExternal only</t>
  </si>
  <si>
    <t>SEC-005</t>
  </si>
  <si>
    <t>shell:open accepts http/https URLs only</t>
  </si>
  <si>
    <t>OWASP A01</t>
  </si>
  <si>
    <t>TC-S-005</t>
  </si>
  <si>
    <t>SEC-006</t>
  </si>
  <si>
    <t>Services</t>
  </si>
  <si>
    <t>No API keys, tokens or credentials exist in the repository or runtime</t>
  </si>
  <si>
    <t>OWASP A07</t>
  </si>
  <si>
    <t>SDD §6.4</t>
  </si>
  <si>
    <t>TC-S-006</t>
  </si>
  <si>
    <t>DPDP §8</t>
  </si>
  <si>
    <t>SEC-007</t>
  </si>
  <si>
    <t>Storage</t>
  </si>
  <si>
    <t>Portfolio and settings are stored locally; nothing is uploaded to any server</t>
  </si>
  <si>
    <t>DPDP Act 2023</t>
  </si>
  <si>
    <t>SDD §6.5</t>
  </si>
  <si>
    <t>TC-S-007</t>
  </si>
  <si>
    <t>DPDP §4, §8</t>
  </si>
  <si>
    <t>SEC-008</t>
  </si>
  <si>
    <t>Outbound calls are limited to the documented public endpoints; no user data is sent as a parameter</t>
  </si>
  <si>
    <t>TC-S-008</t>
  </si>
  <si>
    <t>SEC-009</t>
  </si>
  <si>
    <t>All network calls carry an abort timeout so a hostile or hung endpoint cannot stall the app</t>
  </si>
  <si>
    <t>SDD §3.7</t>
  </si>
  <si>
    <t>TC-S-009</t>
  </si>
  <si>
    <t>SEC-010</t>
  </si>
  <si>
    <t>Preview server binds to localhost and refuses paths outside the renderer directory</t>
  </si>
  <si>
    <t>Developer</t>
  </si>
  <si>
    <t>SDD §7.2</t>
  </si>
  <si>
    <t>TC-S-010</t>
  </si>
  <si>
    <t>NFR-001</t>
  </si>
  <si>
    <t>Cold start to first paint under 3 seconds on a mid-range Windows laptop</t>
  </si>
  <si>
    <t>Charter §4</t>
  </si>
  <si>
    <t>SDD §3.1</t>
  </si>
  <si>
    <t>TC-N-001</t>
  </si>
  <si>
    <t>NFR-002</t>
  </si>
  <si>
    <t>Market data no older than 60 seconds while the app is visible</t>
  </si>
  <si>
    <t>TC-N-002</t>
  </si>
  <si>
    <t>NFR-003</t>
  </si>
  <si>
    <t>A failing feed never blanks the dashboard — the last good value is served and the error is surfaced in the status bar</t>
  </si>
  <si>
    <t>TC-N-003</t>
  </si>
  <si>
    <t>NFR-004</t>
  </si>
  <si>
    <t>Outbound requests are pooled at a maximum of 8 concurrent calls to stay inside free rate limits</t>
  </si>
  <si>
    <t>TC-N-004</t>
  </si>
  <si>
    <t>NFR-005</t>
  </si>
  <si>
    <t>Project</t>
  </si>
  <si>
    <t>Zero paid services, subscriptions or API keys</t>
  </si>
  <si>
    <t>Owner</t>
  </si>
  <si>
    <t>Charter §2</t>
  </si>
  <si>
    <t>SDD §2.2</t>
  </si>
  <si>
    <t>TC-N-005</t>
  </si>
  <si>
    <t>NFR-006</t>
  </si>
  <si>
    <t>Layout stays legible from 1240 px down to 620 px with no horizontal scrolling</t>
  </si>
  <si>
    <t>TC-N-006</t>
  </si>
  <si>
    <t>GIGW 3.0</t>
  </si>
  <si>
    <t>NFR-007</t>
  </si>
  <si>
    <t>Colour is never the only signal — direction is also carried by arrow glyphs and text</t>
  </si>
  <si>
    <t>WCAG 2.1 AA</t>
  </si>
  <si>
    <t>SDD §5.4</t>
  </si>
  <si>
    <t>TC-N-007</t>
  </si>
  <si>
    <t>NFR-008</t>
  </si>
  <si>
    <t>Closing the window leaves the app resident in the tray rather than quitting</t>
  </si>
  <si>
    <t>TC-N-008</t>
  </si>
  <si>
    <t>NFR-009</t>
  </si>
  <si>
    <t>No build step for the renderer — plain HTML/CSS/JS so the app stays auditable</t>
  </si>
  <si>
    <t>TC-N-009</t>
  </si>
  <si>
    <t>NFR-010</t>
  </si>
  <si>
    <t>Every primary data source has a documented fallback path</t>
  </si>
  <si>
    <t>SDD §2.3</t>
  </si>
  <si>
    <t>TC-N-010</t>
  </si>
  <si>
    <t>Role</t>
  </si>
  <si>
    <t>Primary user tracking a personal portfolio and the market tape</t>
  </si>
  <si>
    <t>User focused on short-horizon crypto momentum</t>
  </si>
  <si>
    <t>User who needs session state and clocks at a glance</t>
  </si>
  <si>
    <t>Maintainer working on the codebase</t>
  </si>
  <si>
    <t>TandSol — accountable for scope, risk and releases</t>
  </si>
  <si>
    <t>Behaviour with no direct user interaction</t>
  </si>
  <si>
    <t>Metric</t>
  </si>
  <si>
    <t>Value</t>
  </si>
  <si>
    <t>Functional requirements</t>
  </si>
  <si>
    <t>Security requirements</t>
  </si>
  <si>
    <t>NFR requirements</t>
  </si>
  <si>
    <t>Total requirements</t>
  </si>
  <si>
    <t>Must-have count</t>
  </si>
  <si>
    <t>Developed (not yet verified)</t>
  </si>
  <si>
    <t>Percent verified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</si>
</sst>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10152B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3B2E7E"/>
      </patternFill>
    </fill>
    <fill>
      <patternFill patternType="solid">
        <fgColor rgb="FFF2F4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0" fillId="0" borderId="0" xfId="0" applyAlignment="1">
      <alignment vertical="top" wrapText="1"/>
    </xf>
    <xf numFmtId="0" fontId="3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FormatPr defaultRowHeight="15" outlineLevelRow="0" outlineLevelCol="0" x14ac:dyDescent="55"/>
  <cols>
    <col min="1" max="1" width="26" customWidth="1"/>
    <col min="2" max="2" width="92" customWidth="1"/>
  </cols>
  <sheetData>
    <row r="1" ht="30" customHeight="1" spans="1:2" x14ac:dyDescent="0.25">
      <c r="A1" s="1" t="s">
        <v>0</v>
      </c>
      <c r="B1" s="1"/>
    </row>
    <row r="2" spans="1:2" x14ac:dyDescent="0.25">
      <c r="A2" s="2" t="s">
        <v>1</v>
      </c>
      <c r="B2" s="3" t="s">
        <v>2</v>
      </c>
    </row>
    <row r="3" spans="1:2" x14ac:dyDescent="0.25">
      <c r="A3" s="2" t="s">
        <v>3</v>
      </c>
      <c r="B3" s="3" t="s">
        <v>4</v>
      </c>
    </row>
    <row r="4" spans="1:2" x14ac:dyDescent="0.25">
      <c r="A4" s="2" t="s">
        <v>5</v>
      </c>
      <c r="B4" s="3" t="s">
        <v>6</v>
      </c>
    </row>
    <row r="5" spans="1:2" x14ac:dyDescent="0.25">
      <c r="A5" s="2" t="s">
        <v>7</v>
      </c>
      <c r="B5" s="3" t="s">
        <v>8</v>
      </c>
    </row>
    <row r="6" spans="1:2" x14ac:dyDescent="0.25">
      <c r="A6" s="2" t="s">
        <v>9</v>
      </c>
      <c r="B6" s="3" t="s">
        <v>10</v>
      </c>
    </row>
    <row r="7" spans="1:2" x14ac:dyDescent="0.25">
      <c r="A7" s="2" t="s">
        <v>11</v>
      </c>
      <c r="B7" s="3" t="s">
        <v>12</v>
      </c>
    </row>
    <row r="8" spans="1:2" x14ac:dyDescent="0.25">
      <c r="A8" s="2" t="s">
        <v>13</v>
      </c>
      <c r="B8" s="3" t="s">
        <v>14</v>
      </c>
    </row>
    <row r="9" spans="1:2" x14ac:dyDescent="0.25">
      <c r="A9" s="2" t="s">
        <v>15</v>
      </c>
      <c r="B9" s="3" t="s">
        <v>16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FormatPr defaultRowHeight="15" outlineLevelRow="0" outlineLevelCol="0" x14ac:dyDescent="55"/>
  <cols>
    <col min="1" max="1" width="22" customWidth="1"/>
    <col min="2" max="2" width="24" customWidth="1"/>
    <col min="3" max="3" width="84" customWidth="1"/>
  </cols>
  <sheetData>
    <row r="1" spans="1:1" x14ac:dyDescent="0.25">
      <c r="A1" s="4" t="s">
        <v>17</v>
      </c>
    </row>
    <row r="2" spans="1:3" x14ac:dyDescent="0.25">
      <c r="A2" t="s">
        <v>18</v>
      </c>
      <c r="B2" s="5" t="s">
        <v>19</v>
      </c>
      <c r="C2" s="6" t="s">
        <v>20</v>
      </c>
    </row>
    <row r="3" spans="1:3" x14ac:dyDescent="0.25">
      <c r="A3" t="s">
        <v>18</v>
      </c>
      <c r="B3" s="5" t="s">
        <v>21</v>
      </c>
      <c r="C3" s="6" t="s">
        <v>22</v>
      </c>
    </row>
    <row r="4" spans="1:3" x14ac:dyDescent="0.25">
      <c r="A4" t="s">
        <v>18</v>
      </c>
      <c r="B4" s="5" t="s">
        <v>23</v>
      </c>
      <c r="C4" s="6" t="s">
        <v>24</v>
      </c>
    </row>
    <row r="5" spans="1:3" x14ac:dyDescent="0.25">
      <c r="A5" t="s">
        <v>18</v>
      </c>
      <c r="B5" s="5" t="s">
        <v>25</v>
      </c>
      <c r="C5" s="6" t="s">
        <v>26</v>
      </c>
    </row>
    <row r="7" spans="1:1" x14ac:dyDescent="0.25">
      <c r="A7" s="4" t="s">
        <v>27</v>
      </c>
    </row>
    <row r="8" spans="1:3" x14ac:dyDescent="0.25">
      <c r="A8" t="s">
        <v>18</v>
      </c>
      <c r="B8" s="5" t="s">
        <v>28</v>
      </c>
      <c r="C8" s="6" t="s">
        <v>29</v>
      </c>
    </row>
    <row r="9" spans="1:3" x14ac:dyDescent="0.25">
      <c r="A9" t="s">
        <v>18</v>
      </c>
      <c r="B9" s="5" t="s">
        <v>30</v>
      </c>
      <c r="C9" s="6" t="s">
        <v>31</v>
      </c>
    </row>
    <row r="10" spans="1:3" x14ac:dyDescent="0.25">
      <c r="A10" t="s">
        <v>18</v>
      </c>
      <c r="B10" s="5" t="s">
        <v>32</v>
      </c>
      <c r="C10" s="6" t="s">
        <v>33</v>
      </c>
    </row>
    <row r="11" spans="1:3" x14ac:dyDescent="0.25">
      <c r="A11" t="s">
        <v>18</v>
      </c>
      <c r="B11" s="5" t="s">
        <v>34</v>
      </c>
      <c r="C11" s="6" t="s">
        <v>35</v>
      </c>
    </row>
    <row r="12" spans="1:3" x14ac:dyDescent="0.25">
      <c r="A12" t="s">
        <v>18</v>
      </c>
      <c r="B12" s="5" t="s">
        <v>36</v>
      </c>
      <c r="C12" s="6" t="s">
        <v>37</v>
      </c>
    </row>
    <row r="13" spans="1:3" x14ac:dyDescent="0.25">
      <c r="A13" t="s">
        <v>18</v>
      </c>
      <c r="B13" s="5" t="s">
        <v>38</v>
      </c>
      <c r="C13" s="6" t="s">
        <v>39</v>
      </c>
    </row>
    <row r="15" spans="1:1" x14ac:dyDescent="0.25">
      <c r="A15" s="4" t="s">
        <v>9</v>
      </c>
    </row>
    <row r="16" spans="1:3" x14ac:dyDescent="0.25">
      <c r="A16" t="s">
        <v>18</v>
      </c>
      <c r="B16" s="5" t="s">
        <v>40</v>
      </c>
      <c r="C16" s="6" t="s">
        <v>41</v>
      </c>
    </row>
    <row r="17" spans="1:3" x14ac:dyDescent="0.25">
      <c r="A17" t="s">
        <v>18</v>
      </c>
      <c r="B17" s="5" t="s">
        <v>42</v>
      </c>
      <c r="C17" s="6" t="s">
        <v>43</v>
      </c>
    </row>
    <row r="18" spans="1:3" x14ac:dyDescent="0.25">
      <c r="A18" t="s">
        <v>18</v>
      </c>
      <c r="B18" s="5" t="s">
        <v>44</v>
      </c>
      <c r="C18" s="6" t="s">
        <v>45</v>
      </c>
    </row>
    <row r="19" spans="1:3" x14ac:dyDescent="0.25">
      <c r="A19" t="s">
        <v>18</v>
      </c>
      <c r="B19" s="5" t="s">
        <v>46</v>
      </c>
      <c r="C19" s="6" t="s">
        <v>47</v>
      </c>
    </row>
    <row r="20" spans="1:3" x14ac:dyDescent="0.25">
      <c r="A20" t="s">
        <v>18</v>
      </c>
      <c r="B20" s="5" t="s">
        <v>48</v>
      </c>
      <c r="C20" s="6" t="s">
        <v>49</v>
      </c>
    </row>
    <row r="21" spans="1:3" x14ac:dyDescent="0.25">
      <c r="A21" t="s">
        <v>18</v>
      </c>
      <c r="B21" s="5" t="s">
        <v>50</v>
      </c>
      <c r="C21" s="6" t="s">
        <v>51</v>
      </c>
    </row>
    <row r="23" spans="1:1" x14ac:dyDescent="0.25">
      <c r="A23" s="4" t="s">
        <v>52</v>
      </c>
    </row>
    <row r="24" spans="1:3" x14ac:dyDescent="0.25">
      <c r="A24" t="s">
        <v>18</v>
      </c>
      <c r="B24" s="5" t="s">
        <v>53</v>
      </c>
      <c r="C24" s="6" t="s">
        <v>54</v>
      </c>
    </row>
    <row r="25" spans="1:3" x14ac:dyDescent="0.25">
      <c r="A25" t="s">
        <v>18</v>
      </c>
      <c r="B25" s="5" t="s">
        <v>55</v>
      </c>
      <c r="C25" s="6" t="s">
        <v>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4" customWidth="1"/>
    <col min="3" max="3" width="74" customWidth="1"/>
    <col min="4" max="4" width="15" customWidth="1"/>
    <col min="5" max="5" width="6" customWidth="1"/>
    <col min="6" max="6" width="7" customWidth="1"/>
    <col min="7" max="7" width="16" customWidth="1"/>
    <col min="8" max="8" width="15" customWidth="1"/>
    <col min="9" max="9" width="12" customWidth="1"/>
    <col min="10" max="10" width="15" customWidth="1"/>
    <col min="11" max="11" width="12" customWidth="1"/>
  </cols>
  <sheetData>
    <row r="1" ht="30" customHeight="1" spans="1:11" s="7" customFormat="1" x14ac:dyDescent="0.25">
      <c r="A1" s="7" t="s">
        <v>57</v>
      </c>
      <c r="B1" s="7" t="s">
        <v>58</v>
      </c>
      <c r="C1" s="7" t="s">
        <v>59</v>
      </c>
      <c r="D1" s="7" t="s">
        <v>60</v>
      </c>
      <c r="E1" s="7" t="s">
        <v>61</v>
      </c>
      <c r="F1" s="7" t="s">
        <v>27</v>
      </c>
      <c r="G1" s="7" t="s">
        <v>62</v>
      </c>
      <c r="H1" s="7" t="s">
        <v>53</v>
      </c>
      <c r="I1" s="7" t="s">
        <v>63</v>
      </c>
      <c r="J1" s="7" t="s">
        <v>64</v>
      </c>
      <c r="K1" s="7" t="s">
        <v>9</v>
      </c>
    </row>
    <row r="2" spans="1:11" s="8" customFormat="1" x14ac:dyDescent="0.25">
      <c r="A2" s="8" t="s">
        <v>65</v>
      </c>
      <c r="B2" s="8" t="s">
        <v>66</v>
      </c>
      <c r="C2" s="8" t="s">
        <v>67</v>
      </c>
      <c r="D2" s="8" t="s">
        <v>68</v>
      </c>
      <c r="E2" s="8" t="s">
        <v>19</v>
      </c>
      <c r="F2" s="8" t="s">
        <v>28</v>
      </c>
      <c r="G2" s="8" t="s">
        <v>69</v>
      </c>
      <c r="H2" s="8" t="s">
        <v>70</v>
      </c>
      <c r="I2" s="8" t="s">
        <v>71</v>
      </c>
      <c r="J2" s="8" t="s">
        <v>72</v>
      </c>
      <c r="K2" s="8" t="s">
        <v>50</v>
      </c>
    </row>
    <row r="3" spans="1:11" s="3" customFormat="1" x14ac:dyDescent="0.25">
      <c r="A3" s="3" t="s">
        <v>73</v>
      </c>
      <c r="B3" s="3" t="s">
        <v>66</v>
      </c>
      <c r="C3" s="3" t="s">
        <v>74</v>
      </c>
      <c r="D3" s="3" t="s">
        <v>68</v>
      </c>
      <c r="E3" s="3" t="s">
        <v>19</v>
      </c>
      <c r="F3" s="3" t="s">
        <v>28</v>
      </c>
      <c r="G3" s="3" t="s">
        <v>69</v>
      </c>
      <c r="H3" s="3" t="s">
        <v>70</v>
      </c>
      <c r="I3" s="3" t="s">
        <v>75</v>
      </c>
      <c r="J3" s="3" t="s">
        <v>72</v>
      </c>
      <c r="K3" s="3" t="s">
        <v>50</v>
      </c>
    </row>
    <row r="4" spans="1:11" s="8" customFormat="1" x14ac:dyDescent="0.25">
      <c r="A4" s="8" t="s">
        <v>76</v>
      </c>
      <c r="B4" s="8" t="s">
        <v>66</v>
      </c>
      <c r="C4" s="8" t="s">
        <v>77</v>
      </c>
      <c r="D4" s="8" t="s">
        <v>78</v>
      </c>
      <c r="E4" s="8" t="s">
        <v>21</v>
      </c>
      <c r="F4" s="8" t="s">
        <v>28</v>
      </c>
      <c r="G4" s="8" t="s">
        <v>69</v>
      </c>
      <c r="H4" s="8" t="s">
        <v>70</v>
      </c>
      <c r="I4" s="8" t="s">
        <v>79</v>
      </c>
      <c r="J4" s="8" t="s">
        <v>72</v>
      </c>
      <c r="K4" s="8" t="s">
        <v>50</v>
      </c>
    </row>
    <row r="5" spans="1:11" s="3" customFormat="1" x14ac:dyDescent="0.25">
      <c r="A5" s="3" t="s">
        <v>80</v>
      </c>
      <c r="B5" s="3" t="s">
        <v>81</v>
      </c>
      <c r="C5" s="3" t="s">
        <v>82</v>
      </c>
      <c r="D5" s="3" t="s">
        <v>68</v>
      </c>
      <c r="E5" s="3" t="s">
        <v>19</v>
      </c>
      <c r="F5" s="3" t="s">
        <v>28</v>
      </c>
      <c r="G5" s="3" t="s">
        <v>83</v>
      </c>
      <c r="H5" s="3" t="s">
        <v>84</v>
      </c>
      <c r="I5" s="3" t="s">
        <v>85</v>
      </c>
      <c r="J5" s="3" t="s">
        <v>72</v>
      </c>
      <c r="K5" s="3" t="s">
        <v>50</v>
      </c>
    </row>
    <row r="6" spans="1:11" s="8" customFormat="1" x14ac:dyDescent="0.25">
      <c r="A6" s="8" t="s">
        <v>86</v>
      </c>
      <c r="B6" s="8" t="s">
        <v>81</v>
      </c>
      <c r="C6" s="8" t="s">
        <v>87</v>
      </c>
      <c r="D6" s="8" t="s">
        <v>68</v>
      </c>
      <c r="E6" s="8" t="s">
        <v>19</v>
      </c>
      <c r="F6" s="8" t="s">
        <v>28</v>
      </c>
      <c r="G6" s="8" t="s">
        <v>83</v>
      </c>
      <c r="H6" s="8" t="s">
        <v>84</v>
      </c>
      <c r="I6" s="8" t="s">
        <v>88</v>
      </c>
      <c r="J6" s="8" t="s">
        <v>72</v>
      </c>
      <c r="K6" s="8" t="s">
        <v>50</v>
      </c>
    </row>
    <row r="7" spans="1:11" s="3" customFormat="1" x14ac:dyDescent="0.25">
      <c r="A7" s="3" t="s">
        <v>89</v>
      </c>
      <c r="B7" s="3" t="s">
        <v>81</v>
      </c>
      <c r="C7" s="3" t="s">
        <v>90</v>
      </c>
      <c r="D7" s="3" t="s">
        <v>68</v>
      </c>
      <c r="E7" s="3" t="s">
        <v>19</v>
      </c>
      <c r="F7" s="3" t="s">
        <v>28</v>
      </c>
      <c r="G7" s="3" t="s">
        <v>83</v>
      </c>
      <c r="H7" s="3" t="s">
        <v>84</v>
      </c>
      <c r="I7" s="3" t="s">
        <v>91</v>
      </c>
      <c r="J7" s="3" t="s">
        <v>72</v>
      </c>
      <c r="K7" s="3" t="s">
        <v>50</v>
      </c>
    </row>
    <row r="8" spans="1:11" s="8" customFormat="1" x14ac:dyDescent="0.25">
      <c r="A8" s="8" t="s">
        <v>92</v>
      </c>
      <c r="B8" s="8" t="s">
        <v>81</v>
      </c>
      <c r="C8" s="8" t="s">
        <v>93</v>
      </c>
      <c r="D8" s="8" t="s">
        <v>68</v>
      </c>
      <c r="E8" s="8" t="s">
        <v>21</v>
      </c>
      <c r="F8" s="8" t="s">
        <v>28</v>
      </c>
      <c r="G8" s="8" t="s">
        <v>83</v>
      </c>
      <c r="H8" s="8" t="s">
        <v>84</v>
      </c>
      <c r="I8" s="8" t="s">
        <v>94</v>
      </c>
      <c r="J8" s="8" t="s">
        <v>72</v>
      </c>
      <c r="K8" s="8" t="s">
        <v>46</v>
      </c>
    </row>
    <row r="9" spans="1:11" s="3" customFormat="1" x14ac:dyDescent="0.25">
      <c r="A9" s="3" t="s">
        <v>95</v>
      </c>
      <c r="B9" s="3" t="s">
        <v>81</v>
      </c>
      <c r="C9" s="3" t="s">
        <v>96</v>
      </c>
      <c r="D9" s="3" t="s">
        <v>68</v>
      </c>
      <c r="E9" s="3" t="s">
        <v>19</v>
      </c>
      <c r="F9" s="3" t="s">
        <v>28</v>
      </c>
      <c r="G9" s="3" t="s">
        <v>83</v>
      </c>
      <c r="H9" s="3" t="s">
        <v>84</v>
      </c>
      <c r="I9" s="3" t="s">
        <v>97</v>
      </c>
      <c r="J9" s="3" t="s">
        <v>72</v>
      </c>
      <c r="K9" s="3" t="s">
        <v>50</v>
      </c>
    </row>
    <row r="10" spans="1:11" s="8" customFormat="1" x14ac:dyDescent="0.25">
      <c r="A10" s="8" t="s">
        <v>98</v>
      </c>
      <c r="B10" s="8" t="s">
        <v>81</v>
      </c>
      <c r="C10" s="8" t="s">
        <v>99</v>
      </c>
      <c r="D10" s="8" t="s">
        <v>68</v>
      </c>
      <c r="E10" s="8" t="s">
        <v>21</v>
      </c>
      <c r="F10" s="8" t="s">
        <v>28</v>
      </c>
      <c r="G10" s="8" t="s">
        <v>83</v>
      </c>
      <c r="H10" s="8" t="s">
        <v>100</v>
      </c>
      <c r="I10" s="8" t="s">
        <v>101</v>
      </c>
      <c r="J10" s="8" t="s">
        <v>72</v>
      </c>
      <c r="K10" s="8" t="s">
        <v>50</v>
      </c>
    </row>
    <row r="11" spans="1:11" s="3" customFormat="1" x14ac:dyDescent="0.25">
      <c r="A11" s="3" t="s">
        <v>102</v>
      </c>
      <c r="B11" s="3" t="s">
        <v>81</v>
      </c>
      <c r="C11" s="3" t="s">
        <v>103</v>
      </c>
      <c r="D11" s="3" t="s">
        <v>68</v>
      </c>
      <c r="E11" s="3" t="s">
        <v>23</v>
      </c>
      <c r="F11" s="3" t="s">
        <v>28</v>
      </c>
      <c r="G11" s="3" t="s">
        <v>83</v>
      </c>
      <c r="H11" s="3" t="s">
        <v>84</v>
      </c>
      <c r="I11" s="3" t="s">
        <v>104</v>
      </c>
      <c r="J11" s="3" t="s">
        <v>72</v>
      </c>
      <c r="K11" s="3" t="s">
        <v>50</v>
      </c>
    </row>
    <row r="12" spans="1:11" s="8" customFormat="1" x14ac:dyDescent="0.25">
      <c r="A12" s="8" t="s">
        <v>105</v>
      </c>
      <c r="B12" s="8" t="s">
        <v>81</v>
      </c>
      <c r="C12" s="8" t="s">
        <v>106</v>
      </c>
      <c r="D12" s="8" t="s">
        <v>68</v>
      </c>
      <c r="E12" s="8" t="s">
        <v>23</v>
      </c>
      <c r="F12" s="8" t="s">
        <v>28</v>
      </c>
      <c r="G12" s="8" t="s">
        <v>83</v>
      </c>
      <c r="H12" s="8" t="s">
        <v>84</v>
      </c>
      <c r="I12" s="8" t="s">
        <v>107</v>
      </c>
      <c r="J12" s="8" t="s">
        <v>72</v>
      </c>
      <c r="K12" s="8" t="s">
        <v>50</v>
      </c>
    </row>
    <row r="13" spans="1:11" s="3" customFormat="1" x14ac:dyDescent="0.25">
      <c r="A13" s="3" t="s">
        <v>108</v>
      </c>
      <c r="B13" s="3" t="s">
        <v>109</v>
      </c>
      <c r="C13" s="3" t="s">
        <v>110</v>
      </c>
      <c r="D13" s="3" t="s">
        <v>68</v>
      </c>
      <c r="E13" s="3" t="s">
        <v>19</v>
      </c>
      <c r="F13" s="3" t="s">
        <v>28</v>
      </c>
      <c r="G13" s="3" t="s">
        <v>111</v>
      </c>
      <c r="H13" s="3" t="s">
        <v>112</v>
      </c>
      <c r="I13" s="3" t="s">
        <v>113</v>
      </c>
      <c r="J13" s="3" t="s">
        <v>72</v>
      </c>
      <c r="K13" s="3" t="s">
        <v>50</v>
      </c>
    </row>
    <row r="14" spans="1:11" s="8" customFormat="1" x14ac:dyDescent="0.25">
      <c r="A14" s="8" t="s">
        <v>114</v>
      </c>
      <c r="B14" s="8" t="s">
        <v>109</v>
      </c>
      <c r="C14" s="8" t="s">
        <v>115</v>
      </c>
      <c r="D14" s="8" t="s">
        <v>68</v>
      </c>
      <c r="E14" s="8" t="s">
        <v>19</v>
      </c>
      <c r="F14" s="8" t="s">
        <v>28</v>
      </c>
      <c r="G14" s="8" t="s">
        <v>111</v>
      </c>
      <c r="H14" s="8" t="s">
        <v>116</v>
      </c>
      <c r="I14" s="8" t="s">
        <v>117</v>
      </c>
      <c r="J14" s="8" t="s">
        <v>72</v>
      </c>
      <c r="K14" s="8" t="s">
        <v>50</v>
      </c>
    </row>
    <row r="15" spans="1:11" s="3" customFormat="1" x14ac:dyDescent="0.25">
      <c r="A15" s="3" t="s">
        <v>118</v>
      </c>
      <c r="B15" s="3" t="s">
        <v>109</v>
      </c>
      <c r="C15" s="3" t="s">
        <v>119</v>
      </c>
      <c r="D15" s="3" t="s">
        <v>78</v>
      </c>
      <c r="E15" s="3" t="s">
        <v>21</v>
      </c>
      <c r="F15" s="3" t="s">
        <v>28</v>
      </c>
      <c r="G15" s="3" t="s">
        <v>111</v>
      </c>
      <c r="H15" s="3" t="s">
        <v>112</v>
      </c>
      <c r="I15" s="3" t="s">
        <v>120</v>
      </c>
      <c r="J15" s="3" t="s">
        <v>72</v>
      </c>
      <c r="K15" s="3" t="s">
        <v>50</v>
      </c>
    </row>
    <row r="16" spans="1:11" s="8" customFormat="1" x14ac:dyDescent="0.25">
      <c r="A16" s="8" t="s">
        <v>121</v>
      </c>
      <c r="B16" s="8" t="s">
        <v>109</v>
      </c>
      <c r="C16" s="8" t="s">
        <v>122</v>
      </c>
      <c r="D16" s="8" t="s">
        <v>68</v>
      </c>
      <c r="E16" s="8" t="s">
        <v>21</v>
      </c>
      <c r="F16" s="8" t="s">
        <v>28</v>
      </c>
      <c r="G16" s="8" t="s">
        <v>111</v>
      </c>
      <c r="H16" s="8" t="s">
        <v>100</v>
      </c>
      <c r="I16" s="8" t="s">
        <v>123</v>
      </c>
      <c r="J16" s="8" t="s">
        <v>72</v>
      </c>
      <c r="K16" s="8" t="s">
        <v>50</v>
      </c>
    </row>
    <row r="17" spans="1:11" s="3" customFormat="1" x14ac:dyDescent="0.25">
      <c r="A17" s="3" t="s">
        <v>124</v>
      </c>
      <c r="B17" s="3" t="s">
        <v>109</v>
      </c>
      <c r="C17" s="3" t="s">
        <v>125</v>
      </c>
      <c r="D17" s="3" t="s">
        <v>68</v>
      </c>
      <c r="E17" s="3" t="s">
        <v>19</v>
      </c>
      <c r="F17" s="3" t="s">
        <v>28</v>
      </c>
      <c r="G17" s="3" t="s">
        <v>111</v>
      </c>
      <c r="H17" s="3" t="s">
        <v>126</v>
      </c>
      <c r="I17" s="3" t="s">
        <v>127</v>
      </c>
      <c r="J17" s="3" t="s">
        <v>72</v>
      </c>
      <c r="K17" s="3" t="s">
        <v>50</v>
      </c>
    </row>
    <row r="18" spans="1:11" s="8" customFormat="1" x14ac:dyDescent="0.25">
      <c r="A18" s="8" t="s">
        <v>128</v>
      </c>
      <c r="B18" s="8" t="s">
        <v>129</v>
      </c>
      <c r="C18" s="8" t="s">
        <v>130</v>
      </c>
      <c r="D18" s="8" t="s">
        <v>131</v>
      </c>
      <c r="E18" s="8" t="s">
        <v>19</v>
      </c>
      <c r="F18" s="8" t="s">
        <v>28</v>
      </c>
      <c r="G18" s="8" t="s">
        <v>132</v>
      </c>
      <c r="H18" s="8" t="s">
        <v>133</v>
      </c>
      <c r="I18" s="8" t="s">
        <v>134</v>
      </c>
      <c r="J18" s="8" t="s">
        <v>72</v>
      </c>
      <c r="K18" s="8" t="s">
        <v>50</v>
      </c>
    </row>
    <row r="19" spans="1:11" s="3" customFormat="1" x14ac:dyDescent="0.25">
      <c r="A19" s="3" t="s">
        <v>135</v>
      </c>
      <c r="B19" s="3" t="s">
        <v>129</v>
      </c>
      <c r="C19" s="3" t="s">
        <v>136</v>
      </c>
      <c r="D19" s="3" t="s">
        <v>78</v>
      </c>
      <c r="E19" s="3" t="s">
        <v>21</v>
      </c>
      <c r="F19" s="3" t="s">
        <v>28</v>
      </c>
      <c r="G19" s="3" t="s">
        <v>132</v>
      </c>
      <c r="H19" s="3" t="s">
        <v>133</v>
      </c>
      <c r="I19" s="3" t="s">
        <v>137</v>
      </c>
      <c r="J19" s="3" t="s">
        <v>72</v>
      </c>
      <c r="K19" s="3" t="s">
        <v>50</v>
      </c>
    </row>
    <row r="20" spans="1:11" s="8" customFormat="1" x14ac:dyDescent="0.25">
      <c r="A20" s="8" t="s">
        <v>138</v>
      </c>
      <c r="B20" s="8" t="s">
        <v>129</v>
      </c>
      <c r="C20" s="8" t="s">
        <v>139</v>
      </c>
      <c r="D20" s="8" t="s">
        <v>131</v>
      </c>
      <c r="E20" s="8" t="s">
        <v>21</v>
      </c>
      <c r="F20" s="8" t="s">
        <v>28</v>
      </c>
      <c r="G20" s="8" t="s">
        <v>132</v>
      </c>
      <c r="H20" s="8" t="s">
        <v>133</v>
      </c>
      <c r="I20" s="8" t="s">
        <v>140</v>
      </c>
      <c r="J20" s="8" t="s">
        <v>72</v>
      </c>
      <c r="K20" s="8" t="s">
        <v>50</v>
      </c>
    </row>
    <row r="21" spans="1:11" s="3" customFormat="1" x14ac:dyDescent="0.25">
      <c r="A21" s="3" t="s">
        <v>141</v>
      </c>
      <c r="B21" s="3" t="s">
        <v>142</v>
      </c>
      <c r="C21" s="3" t="s">
        <v>143</v>
      </c>
      <c r="D21" s="3" t="s">
        <v>68</v>
      </c>
      <c r="E21" s="3" t="s">
        <v>19</v>
      </c>
      <c r="F21" s="3" t="s">
        <v>28</v>
      </c>
      <c r="G21" s="3" t="s">
        <v>144</v>
      </c>
      <c r="H21" s="3" t="s">
        <v>145</v>
      </c>
      <c r="I21" s="3" t="s">
        <v>146</v>
      </c>
      <c r="J21" s="3" t="s">
        <v>72</v>
      </c>
      <c r="K21" s="3" t="s">
        <v>50</v>
      </c>
    </row>
    <row r="22" spans="1:11" s="8" customFormat="1" x14ac:dyDescent="0.25">
      <c r="A22" s="8" t="s">
        <v>147</v>
      </c>
      <c r="B22" s="8" t="s">
        <v>142</v>
      </c>
      <c r="C22" s="8" t="s">
        <v>148</v>
      </c>
      <c r="D22" s="8" t="s">
        <v>149</v>
      </c>
      <c r="E22" s="8" t="s">
        <v>21</v>
      </c>
      <c r="F22" s="8" t="s">
        <v>28</v>
      </c>
      <c r="G22" s="8" t="s">
        <v>144</v>
      </c>
      <c r="H22" s="8" t="s">
        <v>150</v>
      </c>
      <c r="I22" s="8" t="s">
        <v>151</v>
      </c>
      <c r="J22" s="8" t="s">
        <v>72</v>
      </c>
      <c r="K22" s="8" t="s">
        <v>50</v>
      </c>
    </row>
    <row r="23" spans="1:11" s="3" customFormat="1" x14ac:dyDescent="0.25">
      <c r="A23" s="3" t="s">
        <v>152</v>
      </c>
      <c r="B23" s="3" t="s">
        <v>142</v>
      </c>
      <c r="C23" s="3" t="s">
        <v>153</v>
      </c>
      <c r="D23" s="3" t="s">
        <v>68</v>
      </c>
      <c r="E23" s="3" t="s">
        <v>21</v>
      </c>
      <c r="F23" s="3" t="s">
        <v>28</v>
      </c>
      <c r="G23" s="3" t="s">
        <v>144</v>
      </c>
      <c r="H23" s="3" t="s">
        <v>150</v>
      </c>
      <c r="I23" s="3" t="s">
        <v>154</v>
      </c>
      <c r="J23" s="3" t="s">
        <v>72</v>
      </c>
      <c r="K23" s="3" t="s">
        <v>50</v>
      </c>
    </row>
    <row r="24" spans="1:11" s="8" customFormat="1" x14ac:dyDescent="0.25">
      <c r="A24" s="8" t="s">
        <v>155</v>
      </c>
      <c r="B24" s="8" t="s">
        <v>156</v>
      </c>
      <c r="C24" s="8" t="s">
        <v>157</v>
      </c>
      <c r="D24" s="8" t="s">
        <v>68</v>
      </c>
      <c r="E24" s="8" t="s">
        <v>19</v>
      </c>
      <c r="F24" s="8" t="s">
        <v>28</v>
      </c>
      <c r="G24" s="8" t="s">
        <v>158</v>
      </c>
      <c r="H24" s="8" t="s">
        <v>159</v>
      </c>
      <c r="I24" s="8" t="s">
        <v>160</v>
      </c>
      <c r="J24" s="8" t="s">
        <v>72</v>
      </c>
      <c r="K24" s="8" t="s">
        <v>50</v>
      </c>
    </row>
    <row r="25" spans="1:11" s="3" customFormat="1" x14ac:dyDescent="0.25">
      <c r="A25" s="3" t="s">
        <v>161</v>
      </c>
      <c r="B25" s="3" t="s">
        <v>156</v>
      </c>
      <c r="C25" s="3" t="s">
        <v>162</v>
      </c>
      <c r="D25" s="3" t="s">
        <v>68</v>
      </c>
      <c r="E25" s="3" t="s">
        <v>21</v>
      </c>
      <c r="F25" s="3" t="s">
        <v>28</v>
      </c>
      <c r="G25" s="3" t="s">
        <v>158</v>
      </c>
      <c r="H25" s="3" t="s">
        <v>159</v>
      </c>
      <c r="I25" s="3" t="s">
        <v>163</v>
      </c>
      <c r="J25" s="3" t="s">
        <v>72</v>
      </c>
      <c r="K25" s="3" t="s">
        <v>50</v>
      </c>
    </row>
    <row r="26" spans="1:11" s="8" customFormat="1" x14ac:dyDescent="0.25">
      <c r="A26" s="8" t="s">
        <v>164</v>
      </c>
      <c r="B26" s="8" t="s">
        <v>165</v>
      </c>
      <c r="C26" s="8" t="s">
        <v>166</v>
      </c>
      <c r="D26" s="8" t="s">
        <v>68</v>
      </c>
      <c r="E26" s="8" t="s">
        <v>19</v>
      </c>
      <c r="F26" s="8" t="s">
        <v>28</v>
      </c>
      <c r="G26" s="8" t="s">
        <v>167</v>
      </c>
      <c r="H26" s="8" t="s">
        <v>168</v>
      </c>
      <c r="I26" s="8" t="s">
        <v>169</v>
      </c>
      <c r="J26" s="8" t="s">
        <v>72</v>
      </c>
      <c r="K26" s="8" t="s">
        <v>50</v>
      </c>
    </row>
    <row r="27" spans="1:11" s="3" customFormat="1" x14ac:dyDescent="0.25">
      <c r="A27" s="3" t="s">
        <v>170</v>
      </c>
      <c r="B27" s="3" t="s">
        <v>165</v>
      </c>
      <c r="C27" s="3" t="s">
        <v>171</v>
      </c>
      <c r="D27" s="3" t="s">
        <v>68</v>
      </c>
      <c r="E27" s="3" t="s">
        <v>19</v>
      </c>
      <c r="F27" s="3" t="s">
        <v>28</v>
      </c>
      <c r="G27" s="3" t="s">
        <v>167</v>
      </c>
      <c r="H27" s="3" t="s">
        <v>172</v>
      </c>
      <c r="I27" s="3" t="s">
        <v>173</v>
      </c>
      <c r="J27" s="3" t="s">
        <v>72</v>
      </c>
      <c r="K27" s="3" t="s">
        <v>50</v>
      </c>
    </row>
    <row r="28" spans="1:11" s="8" customFormat="1" x14ac:dyDescent="0.25">
      <c r="A28" s="8" t="s">
        <v>174</v>
      </c>
      <c r="B28" s="8" t="s">
        <v>165</v>
      </c>
      <c r="C28" s="8" t="s">
        <v>175</v>
      </c>
      <c r="D28" s="8" t="s">
        <v>68</v>
      </c>
      <c r="E28" s="8" t="s">
        <v>21</v>
      </c>
      <c r="F28" s="8" t="s">
        <v>28</v>
      </c>
      <c r="G28" s="8" t="s">
        <v>167</v>
      </c>
      <c r="H28" s="8" t="s">
        <v>172</v>
      </c>
      <c r="I28" s="8" t="s">
        <v>176</v>
      </c>
      <c r="J28" s="8" t="s">
        <v>72</v>
      </c>
      <c r="K28" s="8" t="s">
        <v>50</v>
      </c>
    </row>
    <row r="29" spans="1:11" s="3" customFormat="1" x14ac:dyDescent="0.25">
      <c r="A29" s="3" t="s">
        <v>177</v>
      </c>
      <c r="B29" s="3" t="s">
        <v>165</v>
      </c>
      <c r="C29" s="3" t="s">
        <v>178</v>
      </c>
      <c r="D29" s="3" t="s">
        <v>78</v>
      </c>
      <c r="E29" s="3" t="s">
        <v>19</v>
      </c>
      <c r="F29" s="3" t="s">
        <v>28</v>
      </c>
      <c r="G29" s="3" t="s">
        <v>167</v>
      </c>
      <c r="H29" s="3" t="s">
        <v>179</v>
      </c>
      <c r="I29" s="3" t="s">
        <v>180</v>
      </c>
      <c r="J29" s="3" t="s">
        <v>72</v>
      </c>
      <c r="K29" s="3" t="s">
        <v>50</v>
      </c>
    </row>
    <row r="30" spans="1:11" s="8" customFormat="1" x14ac:dyDescent="0.25">
      <c r="A30" s="8" t="s">
        <v>181</v>
      </c>
      <c r="B30" s="8" t="s">
        <v>165</v>
      </c>
      <c r="C30" s="8" t="s">
        <v>182</v>
      </c>
      <c r="D30" s="8" t="s">
        <v>68</v>
      </c>
      <c r="E30" s="8" t="s">
        <v>21</v>
      </c>
      <c r="F30" s="8" t="s">
        <v>28</v>
      </c>
      <c r="G30" s="8" t="s">
        <v>167</v>
      </c>
      <c r="H30" s="8" t="s">
        <v>183</v>
      </c>
      <c r="I30" s="8" t="s">
        <v>184</v>
      </c>
      <c r="J30" s="8" t="s">
        <v>72</v>
      </c>
      <c r="K30" s="8" t="s">
        <v>50</v>
      </c>
    </row>
    <row r="31" spans="1:11" s="3" customFormat="1" x14ac:dyDescent="0.25">
      <c r="A31" s="3" t="s">
        <v>185</v>
      </c>
      <c r="B31" s="3" t="s">
        <v>165</v>
      </c>
      <c r="C31" s="3" t="s">
        <v>186</v>
      </c>
      <c r="D31" s="3" t="s">
        <v>68</v>
      </c>
      <c r="E31" s="3" t="s">
        <v>23</v>
      </c>
      <c r="F31" s="3" t="s">
        <v>28</v>
      </c>
      <c r="G31" s="3" t="s">
        <v>83</v>
      </c>
      <c r="H31" s="3" t="s">
        <v>84</v>
      </c>
      <c r="I31" s="3" t="s">
        <v>187</v>
      </c>
      <c r="J31" s="3" t="s">
        <v>72</v>
      </c>
      <c r="K31" s="3" t="s">
        <v>50</v>
      </c>
    </row>
    <row r="32" spans="1:11" s="8" customFormat="1" x14ac:dyDescent="0.25">
      <c r="A32" s="8" t="s">
        <v>188</v>
      </c>
      <c r="B32" s="8" t="s">
        <v>165</v>
      </c>
      <c r="C32" s="8" t="s">
        <v>189</v>
      </c>
      <c r="D32" s="8" t="s">
        <v>68</v>
      </c>
      <c r="E32" s="8" t="s">
        <v>23</v>
      </c>
      <c r="F32" s="8" t="s">
        <v>28</v>
      </c>
      <c r="G32" s="8" t="s">
        <v>167</v>
      </c>
      <c r="H32" s="8" t="s">
        <v>190</v>
      </c>
      <c r="I32" s="8" t="s">
        <v>191</v>
      </c>
      <c r="J32" s="8" t="s">
        <v>72</v>
      </c>
      <c r="K32" s="8" t="s">
        <v>50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4" customWidth="1"/>
    <col min="3" max="3" width="74" customWidth="1"/>
    <col min="4" max="4" width="15" customWidth="1"/>
    <col min="5" max="5" width="6" customWidth="1"/>
    <col min="6" max="6" width="7" customWidth="1"/>
    <col min="7" max="7" width="16" customWidth="1"/>
    <col min="8" max="8" width="15" customWidth="1"/>
    <col min="9" max="9" width="12" customWidth="1"/>
    <col min="10" max="10" width="15" customWidth="1"/>
    <col min="11" max="11" width="12" customWidth="1"/>
  </cols>
  <sheetData>
    <row r="1" ht="30" customHeight="1" spans="1:11" s="7" customFormat="1" x14ac:dyDescent="0.25">
      <c r="A1" s="7" t="s">
        <v>57</v>
      </c>
      <c r="B1" s="7" t="s">
        <v>58</v>
      </c>
      <c r="C1" s="7" t="s">
        <v>59</v>
      </c>
      <c r="D1" s="7" t="s">
        <v>60</v>
      </c>
      <c r="E1" s="7" t="s">
        <v>61</v>
      </c>
      <c r="F1" s="7" t="s">
        <v>27</v>
      </c>
      <c r="G1" s="7" t="s">
        <v>62</v>
      </c>
      <c r="H1" s="7" t="s">
        <v>53</v>
      </c>
      <c r="I1" s="7" t="s">
        <v>63</v>
      </c>
      <c r="J1" s="7" t="s">
        <v>64</v>
      </c>
      <c r="K1" s="7" t="s">
        <v>9</v>
      </c>
    </row>
    <row r="2" spans="1:11" s="8" customFormat="1" x14ac:dyDescent="0.25">
      <c r="A2" s="8" t="s">
        <v>192</v>
      </c>
      <c r="B2" s="8" t="s">
        <v>165</v>
      </c>
      <c r="C2" s="8" t="s">
        <v>193</v>
      </c>
      <c r="D2" s="8" t="s">
        <v>78</v>
      </c>
      <c r="E2" s="8" t="s">
        <v>19</v>
      </c>
      <c r="F2" s="8" t="s">
        <v>30</v>
      </c>
      <c r="G2" s="8" t="s">
        <v>194</v>
      </c>
      <c r="H2" s="8" t="s">
        <v>195</v>
      </c>
      <c r="I2" s="8" t="s">
        <v>196</v>
      </c>
      <c r="J2" s="8" t="s">
        <v>197</v>
      </c>
      <c r="K2" s="8" t="s">
        <v>50</v>
      </c>
    </row>
    <row r="3" spans="1:11" s="3" customFormat="1" x14ac:dyDescent="0.25">
      <c r="A3" s="3" t="s">
        <v>198</v>
      </c>
      <c r="B3" s="3" t="s">
        <v>165</v>
      </c>
      <c r="C3" s="3" t="s">
        <v>199</v>
      </c>
      <c r="D3" s="3" t="s">
        <v>78</v>
      </c>
      <c r="E3" s="3" t="s">
        <v>19</v>
      </c>
      <c r="F3" s="3" t="s">
        <v>30</v>
      </c>
      <c r="G3" s="3" t="s">
        <v>194</v>
      </c>
      <c r="H3" s="3" t="s">
        <v>195</v>
      </c>
      <c r="I3" s="3" t="s">
        <v>200</v>
      </c>
      <c r="J3" s="3" t="s">
        <v>197</v>
      </c>
      <c r="K3" s="3" t="s">
        <v>50</v>
      </c>
    </row>
    <row r="4" spans="1:11" s="8" customFormat="1" x14ac:dyDescent="0.25">
      <c r="A4" s="8" t="s">
        <v>201</v>
      </c>
      <c r="B4" s="8" t="s">
        <v>202</v>
      </c>
      <c r="C4" s="8" t="s">
        <v>203</v>
      </c>
      <c r="D4" s="8" t="s">
        <v>78</v>
      </c>
      <c r="E4" s="8" t="s">
        <v>19</v>
      </c>
      <c r="F4" s="8" t="s">
        <v>30</v>
      </c>
      <c r="G4" s="8" t="s">
        <v>204</v>
      </c>
      <c r="H4" s="8" t="s">
        <v>205</v>
      </c>
      <c r="I4" s="8" t="s">
        <v>206</v>
      </c>
      <c r="J4" s="8" t="s">
        <v>197</v>
      </c>
      <c r="K4" s="8" t="s">
        <v>50</v>
      </c>
    </row>
    <row r="5" spans="1:11" s="3" customFormat="1" x14ac:dyDescent="0.25">
      <c r="A5" s="3" t="s">
        <v>207</v>
      </c>
      <c r="B5" s="3" t="s">
        <v>165</v>
      </c>
      <c r="C5" s="3" t="s">
        <v>208</v>
      </c>
      <c r="D5" s="3" t="s">
        <v>78</v>
      </c>
      <c r="E5" s="3" t="s">
        <v>19</v>
      </c>
      <c r="F5" s="3" t="s">
        <v>30</v>
      </c>
      <c r="G5" s="3" t="s">
        <v>194</v>
      </c>
      <c r="H5" s="3" t="s">
        <v>126</v>
      </c>
      <c r="I5" s="3" t="s">
        <v>127</v>
      </c>
      <c r="J5" s="3" t="s">
        <v>197</v>
      </c>
      <c r="K5" s="3" t="s">
        <v>50</v>
      </c>
    </row>
    <row r="6" spans="1:11" s="8" customFormat="1" x14ac:dyDescent="0.25">
      <c r="A6" s="8" t="s">
        <v>209</v>
      </c>
      <c r="B6" s="8" t="s">
        <v>165</v>
      </c>
      <c r="C6" s="8" t="s">
        <v>210</v>
      </c>
      <c r="D6" s="8" t="s">
        <v>78</v>
      </c>
      <c r="E6" s="8" t="s">
        <v>19</v>
      </c>
      <c r="F6" s="8" t="s">
        <v>30</v>
      </c>
      <c r="G6" s="8" t="s">
        <v>211</v>
      </c>
      <c r="H6" s="8" t="s">
        <v>126</v>
      </c>
      <c r="I6" s="8" t="s">
        <v>212</v>
      </c>
      <c r="J6" s="8" t="s">
        <v>197</v>
      </c>
      <c r="K6" s="8" t="s">
        <v>50</v>
      </c>
    </row>
    <row r="7" spans="1:11" s="3" customFormat="1" x14ac:dyDescent="0.25">
      <c r="A7" s="3" t="s">
        <v>213</v>
      </c>
      <c r="B7" s="3" t="s">
        <v>214</v>
      </c>
      <c r="C7" s="3" t="s">
        <v>215</v>
      </c>
      <c r="D7" s="3" t="s">
        <v>78</v>
      </c>
      <c r="E7" s="3" t="s">
        <v>19</v>
      </c>
      <c r="F7" s="3" t="s">
        <v>30</v>
      </c>
      <c r="G7" s="3" t="s">
        <v>216</v>
      </c>
      <c r="H7" s="3" t="s">
        <v>217</v>
      </c>
      <c r="I7" s="3" t="s">
        <v>218</v>
      </c>
      <c r="J7" s="3" t="s">
        <v>219</v>
      </c>
      <c r="K7" s="3" t="s">
        <v>50</v>
      </c>
    </row>
    <row r="8" spans="1:11" s="8" customFormat="1" x14ac:dyDescent="0.25">
      <c r="A8" s="8" t="s">
        <v>220</v>
      </c>
      <c r="B8" s="8" t="s">
        <v>221</v>
      </c>
      <c r="C8" s="8" t="s">
        <v>222</v>
      </c>
      <c r="D8" s="8" t="s">
        <v>68</v>
      </c>
      <c r="E8" s="8" t="s">
        <v>19</v>
      </c>
      <c r="F8" s="8" t="s">
        <v>30</v>
      </c>
      <c r="G8" s="8" t="s">
        <v>223</v>
      </c>
      <c r="H8" s="8" t="s">
        <v>224</v>
      </c>
      <c r="I8" s="8" t="s">
        <v>225</v>
      </c>
      <c r="J8" s="8" t="s">
        <v>226</v>
      </c>
      <c r="K8" s="8" t="s">
        <v>50</v>
      </c>
    </row>
    <row r="9" spans="1:11" s="3" customFormat="1" x14ac:dyDescent="0.25">
      <c r="A9" s="3" t="s">
        <v>227</v>
      </c>
      <c r="B9" s="3" t="s">
        <v>214</v>
      </c>
      <c r="C9" s="3" t="s">
        <v>228</v>
      </c>
      <c r="D9" s="3" t="s">
        <v>78</v>
      </c>
      <c r="E9" s="3" t="s">
        <v>19</v>
      </c>
      <c r="F9" s="3" t="s">
        <v>30</v>
      </c>
      <c r="G9" s="3" t="s">
        <v>223</v>
      </c>
      <c r="H9" s="3" t="s">
        <v>224</v>
      </c>
      <c r="I9" s="3" t="s">
        <v>229</v>
      </c>
      <c r="J9" s="3" t="s">
        <v>219</v>
      </c>
      <c r="K9" s="3" t="s">
        <v>50</v>
      </c>
    </row>
    <row r="10" spans="1:11" s="8" customFormat="1" x14ac:dyDescent="0.25">
      <c r="A10" s="8" t="s">
        <v>230</v>
      </c>
      <c r="B10" s="8" t="s">
        <v>214</v>
      </c>
      <c r="C10" s="8" t="s">
        <v>231</v>
      </c>
      <c r="D10" s="8" t="s">
        <v>78</v>
      </c>
      <c r="E10" s="8" t="s">
        <v>21</v>
      </c>
      <c r="F10" s="8" t="s">
        <v>30</v>
      </c>
      <c r="G10" s="8" t="s">
        <v>197</v>
      </c>
      <c r="H10" s="8" t="s">
        <v>232</v>
      </c>
      <c r="I10" s="8" t="s">
        <v>233</v>
      </c>
      <c r="J10" s="8" t="s">
        <v>197</v>
      </c>
      <c r="K10" s="8" t="s">
        <v>50</v>
      </c>
    </row>
    <row r="11" spans="1:11" s="3" customFormat="1" x14ac:dyDescent="0.25">
      <c r="A11" s="3" t="s">
        <v>234</v>
      </c>
      <c r="B11" s="3" t="s">
        <v>202</v>
      </c>
      <c r="C11" s="3" t="s">
        <v>235</v>
      </c>
      <c r="D11" s="3" t="s">
        <v>236</v>
      </c>
      <c r="E11" s="3" t="s">
        <v>23</v>
      </c>
      <c r="F11" s="3" t="s">
        <v>30</v>
      </c>
      <c r="G11" s="3" t="s">
        <v>211</v>
      </c>
      <c r="H11" s="3" t="s">
        <v>237</v>
      </c>
      <c r="I11" s="3" t="s">
        <v>238</v>
      </c>
      <c r="J11" s="3" t="s">
        <v>72</v>
      </c>
      <c r="K11" s="3" t="s">
        <v>50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4" customWidth="1"/>
    <col min="3" max="3" width="74" customWidth="1"/>
    <col min="4" max="4" width="15" customWidth="1"/>
    <col min="5" max="5" width="6" customWidth="1"/>
    <col min="6" max="6" width="7" customWidth="1"/>
    <col min="7" max="7" width="16" customWidth="1"/>
    <col min="8" max="8" width="15" customWidth="1"/>
    <col min="9" max="9" width="12" customWidth="1"/>
    <col min="10" max="10" width="15" customWidth="1"/>
    <col min="11" max="11" width="12" customWidth="1"/>
  </cols>
  <sheetData>
    <row r="1" ht="30" customHeight="1" spans="1:11" s="7" customFormat="1" x14ac:dyDescent="0.25">
      <c r="A1" s="7" t="s">
        <v>57</v>
      </c>
      <c r="B1" s="7" t="s">
        <v>58</v>
      </c>
      <c r="C1" s="7" t="s">
        <v>59</v>
      </c>
      <c r="D1" s="7" t="s">
        <v>60</v>
      </c>
      <c r="E1" s="7" t="s">
        <v>61</v>
      </c>
      <c r="F1" s="7" t="s">
        <v>27</v>
      </c>
      <c r="G1" s="7" t="s">
        <v>62</v>
      </c>
      <c r="H1" s="7" t="s">
        <v>53</v>
      </c>
      <c r="I1" s="7" t="s">
        <v>63</v>
      </c>
      <c r="J1" s="7" t="s">
        <v>64</v>
      </c>
      <c r="K1" s="7" t="s">
        <v>9</v>
      </c>
    </row>
    <row r="2" spans="1:11" s="8" customFormat="1" x14ac:dyDescent="0.25">
      <c r="A2" s="8" t="s">
        <v>239</v>
      </c>
      <c r="B2" s="8" t="s">
        <v>165</v>
      </c>
      <c r="C2" s="8" t="s">
        <v>240</v>
      </c>
      <c r="D2" s="8" t="s">
        <v>68</v>
      </c>
      <c r="E2" s="8" t="s">
        <v>19</v>
      </c>
      <c r="F2" s="8" t="s">
        <v>34</v>
      </c>
      <c r="G2" s="8" t="s">
        <v>241</v>
      </c>
      <c r="H2" s="8" t="s">
        <v>242</v>
      </c>
      <c r="I2" s="8" t="s">
        <v>243</v>
      </c>
      <c r="J2" s="8" t="s">
        <v>72</v>
      </c>
      <c r="K2" s="8" t="s">
        <v>50</v>
      </c>
    </row>
    <row r="3" spans="1:11" s="3" customFormat="1" x14ac:dyDescent="0.25">
      <c r="A3" s="3" t="s">
        <v>244</v>
      </c>
      <c r="B3" s="3" t="s">
        <v>214</v>
      </c>
      <c r="C3" s="3" t="s">
        <v>245</v>
      </c>
      <c r="D3" s="3" t="s">
        <v>68</v>
      </c>
      <c r="E3" s="3" t="s">
        <v>19</v>
      </c>
      <c r="F3" s="3" t="s">
        <v>34</v>
      </c>
      <c r="G3" s="3" t="s">
        <v>241</v>
      </c>
      <c r="H3" s="3" t="s">
        <v>179</v>
      </c>
      <c r="I3" s="3" t="s">
        <v>246</v>
      </c>
      <c r="J3" s="3" t="s">
        <v>72</v>
      </c>
      <c r="K3" s="3" t="s">
        <v>50</v>
      </c>
    </row>
    <row r="4" spans="1:11" s="8" customFormat="1" x14ac:dyDescent="0.25">
      <c r="A4" s="8" t="s">
        <v>247</v>
      </c>
      <c r="B4" s="8" t="s">
        <v>214</v>
      </c>
      <c r="C4" s="8" t="s">
        <v>248</v>
      </c>
      <c r="D4" s="8" t="s">
        <v>68</v>
      </c>
      <c r="E4" s="8" t="s">
        <v>19</v>
      </c>
      <c r="F4" s="8" t="s">
        <v>34</v>
      </c>
      <c r="G4" s="8" t="s">
        <v>241</v>
      </c>
      <c r="H4" s="8" t="s">
        <v>232</v>
      </c>
      <c r="I4" s="8" t="s">
        <v>249</v>
      </c>
      <c r="J4" s="8" t="s">
        <v>72</v>
      </c>
      <c r="K4" s="8" t="s">
        <v>50</v>
      </c>
    </row>
    <row r="5" spans="1:11" s="3" customFormat="1" x14ac:dyDescent="0.25">
      <c r="A5" s="3" t="s">
        <v>250</v>
      </c>
      <c r="B5" s="3" t="s">
        <v>214</v>
      </c>
      <c r="C5" s="3" t="s">
        <v>251</v>
      </c>
      <c r="D5" s="3" t="s">
        <v>78</v>
      </c>
      <c r="E5" s="3" t="s">
        <v>19</v>
      </c>
      <c r="F5" s="3" t="s">
        <v>34</v>
      </c>
      <c r="G5" s="3" t="s">
        <v>241</v>
      </c>
      <c r="H5" s="3" t="s">
        <v>232</v>
      </c>
      <c r="I5" s="3" t="s">
        <v>252</v>
      </c>
      <c r="J5" s="3" t="s">
        <v>72</v>
      </c>
      <c r="K5" s="3" t="s">
        <v>50</v>
      </c>
    </row>
    <row r="6" spans="1:11" s="8" customFormat="1" x14ac:dyDescent="0.25">
      <c r="A6" s="8" t="s">
        <v>253</v>
      </c>
      <c r="B6" s="8" t="s">
        <v>254</v>
      </c>
      <c r="C6" s="8" t="s">
        <v>255</v>
      </c>
      <c r="D6" s="8" t="s">
        <v>256</v>
      </c>
      <c r="E6" s="8" t="s">
        <v>19</v>
      </c>
      <c r="F6" s="8" t="s">
        <v>34</v>
      </c>
      <c r="G6" s="8" t="s">
        <v>257</v>
      </c>
      <c r="H6" s="8" t="s">
        <v>258</v>
      </c>
      <c r="I6" s="8" t="s">
        <v>259</v>
      </c>
      <c r="J6" s="8" t="s">
        <v>72</v>
      </c>
      <c r="K6" s="8" t="s">
        <v>50</v>
      </c>
    </row>
    <row r="7" spans="1:11" s="3" customFormat="1" x14ac:dyDescent="0.25">
      <c r="A7" s="3" t="s">
        <v>260</v>
      </c>
      <c r="B7" s="3" t="s">
        <v>202</v>
      </c>
      <c r="C7" s="3" t="s">
        <v>261</v>
      </c>
      <c r="D7" s="3" t="s">
        <v>68</v>
      </c>
      <c r="E7" s="3" t="s">
        <v>21</v>
      </c>
      <c r="F7" s="3" t="s">
        <v>34</v>
      </c>
      <c r="G7" s="3" t="s">
        <v>241</v>
      </c>
      <c r="H7" s="3" t="s">
        <v>190</v>
      </c>
      <c r="I7" s="3" t="s">
        <v>262</v>
      </c>
      <c r="J7" s="3" t="s">
        <v>263</v>
      </c>
      <c r="K7" s="3" t="s">
        <v>50</v>
      </c>
    </row>
    <row r="8" spans="1:11" s="8" customFormat="1" x14ac:dyDescent="0.25">
      <c r="A8" s="8" t="s">
        <v>264</v>
      </c>
      <c r="B8" s="8" t="s">
        <v>202</v>
      </c>
      <c r="C8" s="8" t="s">
        <v>265</v>
      </c>
      <c r="D8" s="8" t="s">
        <v>68</v>
      </c>
      <c r="E8" s="8" t="s">
        <v>21</v>
      </c>
      <c r="F8" s="8" t="s">
        <v>34</v>
      </c>
      <c r="G8" s="8" t="s">
        <v>266</v>
      </c>
      <c r="H8" s="8" t="s">
        <v>267</v>
      </c>
      <c r="I8" s="8" t="s">
        <v>268</v>
      </c>
      <c r="J8" s="8" t="s">
        <v>263</v>
      </c>
      <c r="K8" s="8" t="s">
        <v>50</v>
      </c>
    </row>
    <row r="9" spans="1:11" s="3" customFormat="1" x14ac:dyDescent="0.25">
      <c r="A9" s="3" t="s">
        <v>269</v>
      </c>
      <c r="B9" s="3" t="s">
        <v>165</v>
      </c>
      <c r="C9" s="3" t="s">
        <v>270</v>
      </c>
      <c r="D9" s="3" t="s">
        <v>68</v>
      </c>
      <c r="E9" s="3" t="s">
        <v>21</v>
      </c>
      <c r="F9" s="3" t="s">
        <v>34</v>
      </c>
      <c r="G9" s="3" t="s">
        <v>241</v>
      </c>
      <c r="H9" s="3" t="s">
        <v>172</v>
      </c>
      <c r="I9" s="3" t="s">
        <v>271</v>
      </c>
      <c r="J9" s="3" t="s">
        <v>72</v>
      </c>
      <c r="K9" s="3" t="s">
        <v>50</v>
      </c>
    </row>
    <row r="10" spans="1:11" s="8" customFormat="1" x14ac:dyDescent="0.25">
      <c r="A10" s="8" t="s">
        <v>272</v>
      </c>
      <c r="B10" s="8" t="s">
        <v>254</v>
      </c>
      <c r="C10" s="8" t="s">
        <v>273</v>
      </c>
      <c r="D10" s="8" t="s">
        <v>256</v>
      </c>
      <c r="E10" s="8" t="s">
        <v>23</v>
      </c>
      <c r="F10" s="8" t="s">
        <v>34</v>
      </c>
      <c r="G10" s="8" t="s">
        <v>241</v>
      </c>
      <c r="H10" s="8" t="s">
        <v>258</v>
      </c>
      <c r="I10" s="8" t="s">
        <v>274</v>
      </c>
      <c r="J10" s="8" t="s">
        <v>72</v>
      </c>
      <c r="K10" s="8" t="s">
        <v>50</v>
      </c>
    </row>
    <row r="11" spans="1:11" s="3" customFormat="1" x14ac:dyDescent="0.25">
      <c r="A11" s="3" t="s">
        <v>275</v>
      </c>
      <c r="B11" s="3" t="s">
        <v>214</v>
      </c>
      <c r="C11" s="3" t="s">
        <v>276</v>
      </c>
      <c r="D11" s="3" t="s">
        <v>78</v>
      </c>
      <c r="E11" s="3" t="s">
        <v>21</v>
      </c>
      <c r="F11" s="3" t="s">
        <v>34</v>
      </c>
      <c r="G11" s="3" t="s">
        <v>241</v>
      </c>
      <c r="H11" s="3" t="s">
        <v>277</v>
      </c>
      <c r="I11" s="3" t="s">
        <v>278</v>
      </c>
      <c r="J11" s="3" t="s">
        <v>72</v>
      </c>
      <c r="K11" s="3" t="s">
        <v>50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90" customWidth="1"/>
  </cols>
  <sheetData>
    <row r="1" ht="30" customHeight="1" spans="1:2" s="7" customFormat="1" x14ac:dyDescent="0.25">
      <c r="A1" s="7" t="s">
        <v>279</v>
      </c>
      <c r="B1" s="7" t="s">
        <v>59</v>
      </c>
    </row>
    <row r="2" spans="1:2" s="8" customFormat="1" x14ac:dyDescent="0.25">
      <c r="A2" s="8" t="s">
        <v>68</v>
      </c>
      <c r="B2" s="8" t="s">
        <v>280</v>
      </c>
    </row>
    <row r="3" spans="1:2" s="3" customFormat="1" x14ac:dyDescent="0.25">
      <c r="A3" s="3" t="s">
        <v>131</v>
      </c>
      <c r="B3" s="3" t="s">
        <v>281</v>
      </c>
    </row>
    <row r="4" spans="1:2" s="8" customFormat="1" x14ac:dyDescent="0.25">
      <c r="A4" s="8" t="s">
        <v>149</v>
      </c>
      <c r="B4" s="8" t="s">
        <v>282</v>
      </c>
    </row>
    <row r="5" spans="1:2" s="3" customFormat="1" x14ac:dyDescent="0.25">
      <c r="A5" s="3" t="s">
        <v>236</v>
      </c>
      <c r="B5" s="3" t="s">
        <v>283</v>
      </c>
    </row>
    <row r="6" spans="1:2" s="8" customFormat="1" x14ac:dyDescent="0.25">
      <c r="A6" s="8" t="s">
        <v>256</v>
      </c>
      <c r="B6" s="8" t="s">
        <v>284</v>
      </c>
    </row>
    <row r="7" spans="1:2" s="3" customFormat="1" x14ac:dyDescent="0.25">
      <c r="A7" s="3" t="s">
        <v>78</v>
      </c>
      <c r="B7" s="3" t="s">
        <v>285</v>
      </c>
    </row>
  </sheetData>
  <autoFilter ref="A1:B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FormatPr defaultRowHeight="15" outlineLevelRow="0" outlineLevelCol="0" x14ac:dyDescent="55"/>
  <cols>
    <col min="1" max="1" width="42" customWidth="1"/>
    <col min="2" max="2" width="22" customWidth="1"/>
  </cols>
  <sheetData>
    <row r="1" spans="1:2" s="4" customFormat="1" x14ac:dyDescent="0.25">
      <c r="A1" s="4" t="s">
        <v>286</v>
      </c>
      <c r="B1" s="4" t="s">
        <v>287</v>
      </c>
    </row>
    <row r="2" spans="1:2" x14ac:dyDescent="0.25">
      <c r="A2" t="s">
        <v>288</v>
      </c>
      <c r="B2" s="5">
        <f>COUNTA('Functional RTM'!A2:A200)</f>
      </c>
    </row>
    <row r="3" spans="1:2" x14ac:dyDescent="0.25">
      <c r="A3" t="s">
        <v>289</v>
      </c>
      <c r="B3" s="5">
        <f>COUNTA('Security RTM'!A2:A200)</f>
      </c>
    </row>
    <row r="4" spans="1:2" x14ac:dyDescent="0.25">
      <c r="A4" t="s">
        <v>290</v>
      </c>
      <c r="B4" s="5">
        <f>COUNTA('NFR RTM'!A2:A200)</f>
      </c>
    </row>
    <row r="5" spans="1:2" x14ac:dyDescent="0.25">
      <c r="A5" t="s">
        <v>291</v>
      </c>
      <c r="B5" s="5">
        <f>COUNTA('Functional RTM'!A2:A200)+COUNTA('Security RTM'!A2:A200)+COUNTA('NFR RTM'!A2:A200)</f>
      </c>
    </row>
    <row r="6" spans="1:2" x14ac:dyDescent="0.25">
      <c r="A6" t="s">
        <v>292</v>
      </c>
      <c r="B6" s="5">
        <f>COUNTIF('Functional RTM'!E2:E200,"M")+COUNTIF('Security RTM'!E2:E200,"M")+COUNTIF('NFR RTM'!E2:E200,"M")</f>
      </c>
    </row>
    <row r="7" spans="1:2" x14ac:dyDescent="0.25">
      <c r="A7" t="s">
        <v>50</v>
      </c>
      <c r="B7" s="5">
        <f>COUNTIF('Functional RTM'!K2:K200,"Verified")+COUNTIF('Security RTM'!K2:K200,"Verified")+COUNTIF('NFR RTM'!K2:K200,"Verified")</f>
      </c>
    </row>
    <row r="8" spans="1:2" x14ac:dyDescent="0.25">
      <c r="A8" t="s">
        <v>293</v>
      </c>
      <c r="B8" s="5">
        <f>COUNTIF('Functional RTM'!K2:K200,"Developed")+COUNTIF('Security RTM'!K2:K200,"Developed")+COUNTIF('NFR RTM'!K2:K200,"Developed")</f>
      </c>
    </row>
    <row r="9" spans="1:2" x14ac:dyDescent="0.25">
      <c r="A9" t="s">
        <v>294</v>
      </c>
      <c r="B9" s="5">
        <f>ROUND((COUNTIF('Functional RTM'!K2:K200,"Verified")+COUNTIF('Security RTM'!K2:K200,"Verified")+COUNTIF('NFR RTM'!K2:K200,"Verified"))/(COUNTA('Functional RTM'!A2:A200)+COUNTA('Security RTM'!A2:A200)+COUNTA('NFR RTM'!A2:A200))*100,1)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Legend</vt:lpstr>
      <vt:lpstr>Functional RTM</vt:lpstr>
      <vt:lpstr>Security RTM</vt:lpstr>
      <vt:lpstr>NFR RTM</vt:lpstr>
      <vt:lpstr>Role Ref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2026-08-01T02:57:35Z</dcterms:created>
  <dcterms:modified xsi:type="dcterms:W3CDTF">2026-08-01T02:57:35Z</dcterms:modified>
</cp:coreProperties>
</file>