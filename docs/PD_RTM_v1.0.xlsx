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egend" state="visible" r:id="rId5"/>
    <sheet sheetId="3" name="Functional RTM" state="visible" r:id="rId6"/>
    <sheet sheetId="4" name="Security RTM" state="visible" r:id="rId7"/>
    <sheet sheetId="5" name="NFR RTM" state="visible" r:id="rId8"/>
    <sheet sheetId="6" name="Role Ref" state="visible" r:id="rId9"/>
    <sheet sheetId="7" name="Summary" state="visible" r:id="rId10"/>
  </sheets>
  <calcPr calcId="171027"/>
</workbook>
</file>

<file path=xl/sharedStrings.xml><?xml version="1.0" encoding="utf-8"?>
<sst xmlns="http://schemas.openxmlformats.org/spreadsheetml/2006/main" count="1023" uniqueCount="409">
  <si>
    <t>PulseDesk — Requirements Traceability Matrix</t>
  </si>
  <si>
    <t>Document ID</t>
  </si>
  <si>
    <t>PD-RTM-001</t>
  </si>
  <si>
    <t>Version</t>
  </si>
  <si>
    <t>1.0</t>
  </si>
  <si>
    <t>Date</t>
  </si>
  <si>
    <t>2026-08-01</t>
  </si>
  <si>
    <t>Prepared by</t>
  </si>
  <si>
    <t>TandSol</t>
  </si>
  <si>
    <t>Status</t>
  </si>
  <si>
    <t>Baselined</t>
  </si>
  <si>
    <t>Related documents</t>
  </si>
  <si>
    <t>PD-CHR-001, PD-SDD-001, PD-CR-001, PD-PMP-001</t>
  </si>
  <si>
    <t>Classification</t>
  </si>
  <si>
    <t>Internal</t>
  </si>
  <si>
    <t>Revision note</t>
  </si>
  <si>
    <t>v1.0 — initial baseline issued with the first working build.</t>
  </si>
  <si>
    <t>Priority (MoSCoW)</t>
  </si>
  <si>
    <t/>
  </si>
  <si>
    <t>M</t>
  </si>
  <si>
    <t>Must have — the build is not acceptable without it</t>
  </si>
  <si>
    <t>S</t>
  </si>
  <si>
    <t>Should have — important but not fatal at release</t>
  </si>
  <si>
    <t>C</t>
  </si>
  <si>
    <t>Could have — included when effort allows</t>
  </si>
  <si>
    <t>W</t>
  </si>
  <si>
    <t>Won't have this release</t>
  </si>
  <si>
    <t>Type</t>
  </si>
  <si>
    <t>FUN</t>
  </si>
  <si>
    <t>Functional</t>
  </si>
  <si>
    <t>SEC</t>
  </si>
  <si>
    <t>Security</t>
  </si>
  <si>
    <t>CMP</t>
  </si>
  <si>
    <t>Compliance</t>
  </si>
  <si>
    <t>NFR</t>
  </si>
  <si>
    <t>Non-functional</t>
  </si>
  <si>
    <t>INT</t>
  </si>
  <si>
    <t>Integration</t>
  </si>
  <si>
    <t>RPT</t>
  </si>
  <si>
    <t>Reporting</t>
  </si>
  <si>
    <t>Proposed</t>
  </si>
  <si>
    <t>Raised, not yet agreed</t>
  </si>
  <si>
    <t>Approved</t>
  </si>
  <si>
    <t>Agreed for the release</t>
  </si>
  <si>
    <t>In Design</t>
  </si>
  <si>
    <t>Being designed in the SDD</t>
  </si>
  <si>
    <t>Developed</t>
  </si>
  <si>
    <t>Code written</t>
  </si>
  <si>
    <t>Tested</t>
  </si>
  <si>
    <t>Exercised against live data</t>
  </si>
  <si>
    <t>Verified</t>
  </si>
  <si>
    <t>Confirmed working in the running app</t>
  </si>
  <si>
    <t>Conventions</t>
  </si>
  <si>
    <t>Design Ref</t>
  </si>
  <si>
    <t>Section of PD-SDD-001 that realises the requirement</t>
  </si>
  <si>
    <t>Deprecated rows</t>
  </si>
  <si>
    <t>Kept in place with a [DEPRECATED — reason] prefix, never deleted</t>
  </si>
  <si>
    <t>Req ID</t>
  </si>
  <si>
    <t>Module</t>
  </si>
  <si>
    <t>Description</t>
  </si>
  <si>
    <t>User Role</t>
  </si>
  <si>
    <t>Pri</t>
  </si>
  <si>
    <t>Source</t>
  </si>
  <si>
    <t>Test Ref</t>
  </si>
  <si>
    <t>Compliance Tag</t>
  </si>
  <si>
    <t>FUN-001</t>
  </si>
  <si>
    <t>Hype Radar</t>
  </si>
  <si>
    <t>Show the 5 most-hyped stocks with price, day change and sparkline</t>
  </si>
  <si>
    <t>Investor</t>
  </si>
  <si>
    <t>Charter §3.1</t>
  </si>
  <si>
    <t>SDD §4.2</t>
  </si>
  <si>
    <t>TC-F-001</t>
  </si>
  <si>
    <t>—</t>
  </si>
  <si>
    <t>FUN-002</t>
  </si>
  <si>
    <t>Rank hype as 0.45×volume-ratio + 0.35×|move| + 0.20×news mentions, min-max normalised</t>
  </si>
  <si>
    <t>TC-F-002</t>
  </si>
  <si>
    <t>FUN-003</t>
  </si>
  <si>
    <t>Build the candidate universe from Yahoo trending, curated IN/US liquid names, holdings and headline tickers</t>
  </si>
  <si>
    <t>System</t>
  </si>
  <si>
    <t>TC-F-003</t>
  </si>
  <si>
    <t>FUN-004</t>
  </si>
  <si>
    <t>Portfolio</t>
  </si>
  <si>
    <t>Add, merge (weighted average), edit and remove holdings</t>
  </si>
  <si>
    <t>Charter §3.2</t>
  </si>
  <si>
    <t>SDD §4.5</t>
  </si>
  <si>
    <t>TC-F-004</t>
  </si>
  <si>
    <t>FUN-005</t>
  </si>
  <si>
    <t>Compute invested, current value, unrealised P&amp;L and P&amp;L% per holding and in total</t>
  </si>
  <si>
    <t>TC-F-005</t>
  </si>
  <si>
    <t>FUN-006</t>
  </si>
  <si>
    <t>Compute day P&amp;L from previous close and show it against net worth</t>
  </si>
  <si>
    <t>TC-F-006</t>
  </si>
  <si>
    <t>FUN-007</t>
  </si>
  <si>
    <t>Book realised P&amp;L into a trade log when a holding is closed with a sell price</t>
  </si>
  <si>
    <t>TC-F-007</t>
  </si>
  <si>
    <t>FUN-008</t>
  </si>
  <si>
    <t>Convert every holding to a user-selected base currency using the live FX cross</t>
  </si>
  <si>
    <t>TC-F-008</t>
  </si>
  <si>
    <t>FUN-009</t>
  </si>
  <si>
    <t>Show allocation weights as a donut with a legend of the top 8 positions</t>
  </si>
  <si>
    <t>SDD §5.3</t>
  </si>
  <si>
    <t>TC-F-009</t>
  </si>
  <si>
    <t>FUN-010</t>
  </si>
  <si>
    <t>Persist a daily net-worth snapshot and plot the trend</t>
  </si>
  <si>
    <t>TC-F-010</t>
  </si>
  <si>
    <t>FUN-011</t>
  </si>
  <si>
    <t>Track idle cash separately and include it in net worth</t>
  </si>
  <si>
    <t>TC-F-011</t>
  </si>
  <si>
    <t>FUN-012</t>
  </si>
  <si>
    <t>News Wire</t>
  </si>
  <si>
    <t>Aggregate 8 RSS sources, de-duplicate by normalised headline and show the top 15</t>
  </si>
  <si>
    <t>Charter §3.3</t>
  </si>
  <si>
    <t>SDD §4.3</t>
  </si>
  <si>
    <t>TC-F-012</t>
  </si>
  <si>
    <t>FUN-013</t>
  </si>
  <si>
    <t>Classify each headline as RISE / FALL / FLAT with a confidence percentage</t>
  </si>
  <si>
    <t>SDD §4.4</t>
  </si>
  <si>
    <t>TC-F-013</t>
  </si>
  <si>
    <t>FUN-014</t>
  </si>
  <si>
    <t>Extract mentioned tickers from headlines and feed the counts into the hype scorer</t>
  </si>
  <si>
    <t>TC-F-014</t>
  </si>
  <si>
    <t>FUN-015</t>
  </si>
  <si>
    <t>Filter the wire by direction (All / Rise / Fall)</t>
  </si>
  <si>
    <t>TC-F-015</t>
  </si>
  <si>
    <t>FUN-016</t>
  </si>
  <si>
    <t>Open a headline in the system browser, never inside the app window</t>
  </si>
  <si>
    <t>SDD §6.3</t>
  </si>
  <si>
    <t>TC-S-004</t>
  </si>
  <si>
    <t>FUN-017</t>
  </si>
  <si>
    <t>Crypto</t>
  </si>
  <si>
    <t>Rank the 10 strongest USDT pairs over an exact trailing 5-hour window</t>
  </si>
  <si>
    <t>Crypto watcher</t>
  </si>
  <si>
    <t>Charter §3.4</t>
  </si>
  <si>
    <t>SDD §4.6</t>
  </si>
  <si>
    <t>TC-F-017</t>
  </si>
  <si>
    <t>FUN-018</t>
  </si>
  <si>
    <t>Exclude leveraged tokens, stablecoin pairs and pairs under $3M of 24h quote volume</t>
  </si>
  <si>
    <t>TC-F-018</t>
  </si>
  <si>
    <t>FUN-019</t>
  </si>
  <si>
    <t>Show Fear &amp; Greed, total market cap, BTC dominance and 24h cap change</t>
  </si>
  <si>
    <t>TC-F-019</t>
  </si>
  <si>
    <t>FUN-020</t>
  </si>
  <si>
    <t>Markets</t>
  </si>
  <si>
    <t>Scroll a live tape of Indian and US indices, commodities, USD/INR and BTC</t>
  </si>
  <si>
    <t>Charter §3.5</t>
  </si>
  <si>
    <t>SDD §4.1</t>
  </si>
  <si>
    <t>TC-F-020</t>
  </si>
  <si>
    <t>FUN-021</t>
  </si>
  <si>
    <t>Show open/closed state and countdown for NSE, NYSE, LSE, TSE and crypto</t>
  </si>
  <si>
    <t>Desk operator</t>
  </si>
  <si>
    <t>SDD §4.7</t>
  </si>
  <si>
    <t>TC-F-021</t>
  </si>
  <si>
    <t>FUN-022</t>
  </si>
  <si>
    <t>Derive advance/decline breadth and a −100…+100 pulse mood score</t>
  </si>
  <si>
    <t>TC-F-022</t>
  </si>
  <si>
    <t>FUN-023</t>
  </si>
  <si>
    <t>Weather</t>
  </si>
  <si>
    <t>Show current temperature, feels-like, humidity, wind, rain chance, UV, AQI and 8 hourly steps</t>
  </si>
  <si>
    <t>Charter §3.6</t>
  </si>
  <si>
    <t>SDD §4.8</t>
  </si>
  <si>
    <t>TC-F-023</t>
  </si>
  <si>
    <t>FUN-024</t>
  </si>
  <si>
    <t>Resolve location by IP with a manual latitude/longitude override</t>
  </si>
  <si>
    <t>TC-F-024</t>
  </si>
  <si>
    <t>FUN-025</t>
  </si>
  <si>
    <t>Shell</t>
  </si>
  <si>
    <t>Keep the window above other applications and optionally on every virtual desktop</t>
  </si>
  <si>
    <t>Charter §3.7</t>
  </si>
  <si>
    <t>SDD §3.2</t>
  </si>
  <si>
    <t>TC-F-025</t>
  </si>
  <si>
    <t>FUN-026</t>
  </si>
  <si>
    <t>Offer tray control for show/hide, pinning, opacity, click-through and data folder</t>
  </si>
  <si>
    <t>SDD §3.3</t>
  </si>
  <si>
    <t>TC-F-026</t>
  </si>
  <si>
    <t>FUN-027</t>
  </si>
  <si>
    <t>Register Ctrl+Alt+P (toggle) and Ctrl+Alt+R (refresh) global shortcuts</t>
  </si>
  <si>
    <t>TC-F-027</t>
  </si>
  <si>
    <t>FUN-028</t>
  </si>
  <si>
    <t>Refresh on tiers — 60 s market, 5 min news/hype, 30 min weather</t>
  </si>
  <si>
    <t>SDD §3.4</t>
  </si>
  <si>
    <t>TC-F-028</t>
  </si>
  <si>
    <t>FUN-029</t>
  </si>
  <si>
    <t>Persist window bounds, pinning, opacity and compact mode between sessions</t>
  </si>
  <si>
    <t>SDD §3.6</t>
  </si>
  <si>
    <t>TC-F-029</t>
  </si>
  <si>
    <t>FUN-030</t>
  </si>
  <si>
    <t>Validate a symbol against the live quote service before a holding is saved</t>
  </si>
  <si>
    <t>TC-F-030</t>
  </si>
  <si>
    <t>FUN-031</t>
  </si>
  <si>
    <t>Offer a two-column compact layout for narrow placements</t>
  </si>
  <si>
    <t>SDD §5.2</t>
  </si>
  <si>
    <t>TC-F-031</t>
  </si>
  <si>
    <t>FUN-032</t>
  </si>
  <si>
    <t>Distribution</t>
  </si>
  <si>
    <t>Serve the same dashboard as an installable web app on Android, iOS and desktop browsers</t>
  </si>
  <si>
    <t>Public user</t>
  </si>
  <si>
    <t>Charter §3.8</t>
  </si>
  <si>
    <t>SDD §10.2</t>
  </si>
  <si>
    <t>TC-F-032</t>
  </si>
  <si>
    <t>FUN-033</t>
  </si>
  <si>
    <t>Cache the app shell in a service worker so it opens without a connection</t>
  </si>
  <si>
    <t>SDD §10.3</t>
  </si>
  <si>
    <t>TC-F-033</t>
  </si>
  <si>
    <t>FUN-034</t>
  </si>
  <si>
    <t>Route web market data through an edge worker because browsers cannot call the upstreams directly</t>
  </si>
  <si>
    <t>SDD §10.1</t>
  </si>
  <si>
    <t>TC-F-034</t>
  </si>
  <si>
    <t>FUN-035</t>
  </si>
  <si>
    <t>Keep web holdings in browser local storage so the web build needs no account either</t>
  </si>
  <si>
    <t>TC-F-035</t>
  </si>
  <si>
    <t>FUN-036</t>
  </si>
  <si>
    <t>Analytics</t>
  </si>
  <si>
    <t>Count app opens, distinct devices per day and devices active in the last five minutes without any login</t>
  </si>
  <si>
    <t>Owner</t>
  </si>
  <si>
    <t>Charter §3.9</t>
  </si>
  <si>
    <t>SDD §11.1</t>
  </si>
  <si>
    <t>TC-F-036</t>
  </si>
  <si>
    <t>DPDP §4</t>
  </si>
  <si>
    <t>FUN-037</t>
  </si>
  <si>
    <t>Present those counts on a private dashboard gated by a shared key, with a 30-day trend, country and platform split</t>
  </si>
  <si>
    <t>SDD §11.2</t>
  </si>
  <si>
    <t>TC-F-037</t>
  </si>
  <si>
    <t>FUN-038</t>
  </si>
  <si>
    <t>Publish the Windows installer and portable build automatically from a version tag</t>
  </si>
  <si>
    <t>SDD §10.4</t>
  </si>
  <si>
    <t>TC-F-038</t>
  </si>
  <si>
    <t>FUN-039</t>
  </si>
  <si>
    <t>Show a subtle author credit in the status bar, title bar, tray menu, manifest and packaged metadata</t>
  </si>
  <si>
    <t>Charter §3.10</t>
  </si>
  <si>
    <t>SDD §5.1</t>
  </si>
  <si>
    <t>TC-F-039</t>
  </si>
  <si>
    <t>FUN-040</t>
  </si>
  <si>
    <t>Offer a type-ahead list of matching companies and tickers as the user types a name</t>
  </si>
  <si>
    <t>SDD §4.9</t>
  </si>
  <si>
    <t>TC-F-040</t>
  </si>
  <si>
    <t>FUN-041</t>
  </si>
  <si>
    <t>Let the user say the purchase was "right now" or pick an exact past date and time</t>
  </si>
  <si>
    <t>SDD §4.10</t>
  </si>
  <si>
    <t>TC-F-041</t>
  </si>
  <si>
    <t>FUN-042</t>
  </si>
  <si>
    <t>Fill the buy price automatically from the market price at the chosen moment, widening to the nearest trading time when markets were shut</t>
  </si>
  <si>
    <t>TC-F-042</t>
  </si>
  <si>
    <t>FUN-043</t>
  </si>
  <si>
    <t>Preview invested amount and the gain or loss against the live price before the holding is saved</t>
  </si>
  <si>
    <t>TC-F-043</t>
  </si>
  <si>
    <t>FUN-044</t>
  </si>
  <si>
    <t>Allow the auto-filled price to be overridden and label it as the user’s own figure</t>
  </si>
  <si>
    <t>TC-F-044</t>
  </si>
  <si>
    <t>FUN-045</t>
  </si>
  <si>
    <t>Record the purchase timestamp and show holding age and since-date on each row</t>
  </si>
  <si>
    <t>TC-F-045</t>
  </si>
  <si>
    <t>FUN-046</t>
  </si>
  <si>
    <t>Offer a one-click INR/USD switch beside the full base-currency list</t>
  </si>
  <si>
    <t>TC-F-046</t>
  </si>
  <si>
    <t>FUN-047</t>
  </si>
  <si>
    <t>Place the portfolio first on the dashboard, across the full width</t>
  </si>
  <si>
    <t>TC-F-047</t>
  </si>
  <si>
    <t>FUN-048</t>
  </si>
  <si>
    <t>Popular</t>
  </si>
  <si>
    <t>List widely-held large caps ranked by 1-year annualised volatility, with a plain-English steadiness band and 1-year return</t>
  </si>
  <si>
    <t>Charter §3.11</t>
  </si>
  <si>
    <t>SDD §4.11</t>
  </si>
  <si>
    <t>TC-F-048</t>
  </si>
  <si>
    <t>FUN-049</t>
  </si>
  <si>
    <t>Filter that list by India or US and add any row straight into the portfolio</t>
  </si>
  <si>
    <t>TC-F-049</t>
  </si>
  <si>
    <t>FUN-050</t>
  </si>
  <si>
    <t>Offer a most-bought view ranked by 24-hour turnover alongside the 5-hour pump view</t>
  </si>
  <si>
    <t>TC-F-050</t>
  </si>
  <si>
    <t>FUN-051</t>
  </si>
  <si>
    <t>Provide a full-screen control in the title bar and on F11</t>
  </si>
  <si>
    <t>TC-F-051</t>
  </si>
  <si>
    <t>FUN-052</t>
  </si>
  <si>
    <t>Ship the worker as one pasteable file so publishing needs no command line</t>
  </si>
  <si>
    <t>Charter §3.12</t>
  </si>
  <si>
    <t>SDD §10.6</t>
  </si>
  <si>
    <t>TC-F-052</t>
  </si>
  <si>
    <t>FUN-053</t>
  </si>
  <si>
    <t>Provide double-click launchers and a click-by-click publishing guide for a non-technical operator</t>
  </si>
  <si>
    <t>TC-F-053</t>
  </si>
  <si>
    <t>SEC-001</t>
  </si>
  <si>
    <t>Renderer runs with contextIsolation on and nodeIntegration off</t>
  </si>
  <si>
    <t>OWASP Electron</t>
  </si>
  <si>
    <t>SDD §6.1</t>
  </si>
  <si>
    <t>TC-S-001</t>
  </si>
  <si>
    <t>CERT-In</t>
  </si>
  <si>
    <t>SEC-002</t>
  </si>
  <si>
    <t>Renderer enforces a CSP of default-src self; script-src self</t>
  </si>
  <si>
    <t>TC-S-002</t>
  </si>
  <si>
    <t>SEC-003</t>
  </si>
  <si>
    <t>Renderer</t>
  </si>
  <si>
    <t>Every remote string is HTML-escaped before insertion into the DOM</t>
  </si>
  <si>
    <t>OWASP A03</t>
  </si>
  <si>
    <t>SDD §6.2</t>
  </si>
  <si>
    <t>TC-S-003</t>
  </si>
  <si>
    <t>SEC-004</t>
  </si>
  <si>
    <t>window.open is denied; links open through shell.openExternal only</t>
  </si>
  <si>
    <t>SEC-005</t>
  </si>
  <si>
    <t>shell:open accepts http/https URLs only</t>
  </si>
  <si>
    <t>OWASP A01</t>
  </si>
  <si>
    <t>TC-S-005</t>
  </si>
  <si>
    <t>SEC-006</t>
  </si>
  <si>
    <t>Services</t>
  </si>
  <si>
    <t>No API keys, tokens or credentials exist in the repository or runtime</t>
  </si>
  <si>
    <t>OWASP A07</t>
  </si>
  <si>
    <t>SDD §6.4</t>
  </si>
  <si>
    <t>TC-S-006</t>
  </si>
  <si>
    <t>DPDP §8</t>
  </si>
  <si>
    <t>SEC-007</t>
  </si>
  <si>
    <t>Storage</t>
  </si>
  <si>
    <t>Portfolio and settings are stored locally; nothing is uploaded to any server</t>
  </si>
  <si>
    <t>DPDP Act 2023</t>
  </si>
  <si>
    <t>SDD §6.5</t>
  </si>
  <si>
    <t>TC-S-007</t>
  </si>
  <si>
    <t>DPDP §4, §8</t>
  </si>
  <si>
    <t>SEC-008</t>
  </si>
  <si>
    <t>Outbound calls are limited to the documented public endpoints; no user data is sent as a parameter</t>
  </si>
  <si>
    <t>TC-S-008</t>
  </si>
  <si>
    <t>SEC-009</t>
  </si>
  <si>
    <t>All network calls carry an abort timeout so a hostile or hung endpoint cannot stall the app</t>
  </si>
  <si>
    <t>SDD §3.7</t>
  </si>
  <si>
    <t>TC-S-009</t>
  </si>
  <si>
    <t>SEC-010</t>
  </si>
  <si>
    <t>Preview server binds to localhost and refuses paths outside the renderer directory</t>
  </si>
  <si>
    <t>Developer</t>
  </si>
  <si>
    <t>SDD §7.2</t>
  </si>
  <si>
    <t>TC-S-010</t>
  </si>
  <si>
    <t>SEC-011</t>
  </si>
  <si>
    <t>The statistics endpoint is refused without the shared key held as a worker secret</t>
  </si>
  <si>
    <t>TC-S-011</t>
  </si>
  <si>
    <t>SEC-012</t>
  </si>
  <si>
    <t>No IP address, cookie, email or account is stored — only a random client-generated id, coarse country and platform</t>
  </si>
  <si>
    <t>TC-S-012</t>
  </si>
  <si>
    <t>SEC-013</t>
  </si>
  <si>
    <t>Worker</t>
  </si>
  <si>
    <t>The worker holds no upstream credentials and accepts only its documented routes</t>
  </si>
  <si>
    <t>OWASP A05</t>
  </si>
  <si>
    <t>TC-S-013</t>
  </si>
  <si>
    <t>SEC-014</t>
  </si>
  <si>
    <t>Visitor identifiers are sanitised and length-capped before they reach the database</t>
  </si>
  <si>
    <t>TC-S-014</t>
  </si>
  <si>
    <t>SEC-015</t>
  </si>
  <si>
    <t>The web build declares a content security policy that allows connections only to its own origin and the configured worker</t>
  </si>
  <si>
    <t>TC-S-015</t>
  </si>
  <si>
    <t>NFR-001</t>
  </si>
  <si>
    <t>Cold start to first paint under 3 seconds on a mid-range Windows laptop</t>
  </si>
  <si>
    <t>Charter §4</t>
  </si>
  <si>
    <t>SDD §3.1</t>
  </si>
  <si>
    <t>TC-N-001</t>
  </si>
  <si>
    <t>NFR-002</t>
  </si>
  <si>
    <t>Market data no older than 60 seconds while the app is visible</t>
  </si>
  <si>
    <t>TC-N-002</t>
  </si>
  <si>
    <t>NFR-003</t>
  </si>
  <si>
    <t>A failing feed never blanks the dashboard — the last good value is served and the error is surfaced in the status bar</t>
  </si>
  <si>
    <t>TC-N-003</t>
  </si>
  <si>
    <t>NFR-004</t>
  </si>
  <si>
    <t>Outbound requests are pooled at a maximum of 8 concurrent calls to stay inside free rate limits</t>
  </si>
  <si>
    <t>TC-N-004</t>
  </si>
  <si>
    <t>NFR-005</t>
  </si>
  <si>
    <t>Project</t>
  </si>
  <si>
    <t>Zero paid services, subscriptions or API keys</t>
  </si>
  <si>
    <t>Charter §2</t>
  </si>
  <si>
    <t>SDD §2.2</t>
  </si>
  <si>
    <t>TC-N-005</t>
  </si>
  <si>
    <t>NFR-006</t>
  </si>
  <si>
    <t>Layout stays legible from 1240 px down to 620 px with no horizontal scrolling</t>
  </si>
  <si>
    <t>TC-N-006</t>
  </si>
  <si>
    <t>GIGW 3.0</t>
  </si>
  <si>
    <t>NFR-007</t>
  </si>
  <si>
    <t>Colour is never the only signal — direction is also carried by arrow glyphs and text</t>
  </si>
  <si>
    <t>WCAG 2.1 AA</t>
  </si>
  <si>
    <t>SDD §5.4</t>
  </si>
  <si>
    <t>TC-N-007</t>
  </si>
  <si>
    <t>NFR-008</t>
  </si>
  <si>
    <t>Closing the window leaves the app resident in the tray rather than quitting</t>
  </si>
  <si>
    <t>TC-N-008</t>
  </si>
  <si>
    <t>NFR-009</t>
  </si>
  <si>
    <t>No build step for the renderer — plain HTML/CSS/JS so the app stays auditable</t>
  </si>
  <si>
    <t>TC-N-009</t>
  </si>
  <si>
    <t>NFR-010</t>
  </si>
  <si>
    <t>Every primary data source has a documented fallback path</t>
  </si>
  <si>
    <t>SDD §2.3</t>
  </si>
  <si>
    <t>TC-N-010</t>
  </si>
  <si>
    <t>NFR-011</t>
  </si>
  <si>
    <t>Edge caching holds worker traffic inside the free allowance at ten thousand daily users</t>
  </si>
  <si>
    <t>TC-N-011</t>
  </si>
  <si>
    <t>NFR-012</t>
  </si>
  <si>
    <t>The phone layout fits a 375 px viewport with no horizontal scrolling and safe-area padding</t>
  </si>
  <si>
    <t>TC-N-012</t>
  </si>
  <si>
    <t>NFR-013</t>
  </si>
  <si>
    <t>Hosting, delivery and analytics stay at zero recurring cost</t>
  </si>
  <si>
    <t>SDD §10.5</t>
  </si>
  <si>
    <t>TC-N-013</t>
  </si>
  <si>
    <t>Role</t>
  </si>
  <si>
    <t>Primary user tracking a personal portfolio and the market tape</t>
  </si>
  <si>
    <t>User focused on short-horizon crypto momentum</t>
  </si>
  <si>
    <t>User who needs session state and clocks at a glance</t>
  </si>
  <si>
    <t>Maintainer working on the codebase</t>
  </si>
  <si>
    <t>TandSol — accountable for scope, risk and releases</t>
  </si>
  <si>
    <t>Behaviour with no direct user interaction</t>
  </si>
  <si>
    <t>Metric</t>
  </si>
  <si>
    <t>Value</t>
  </si>
  <si>
    <t>Functional requirements</t>
  </si>
  <si>
    <t>Security requirements</t>
  </si>
  <si>
    <t>NFR requirements</t>
  </si>
  <si>
    <t>Total requirements</t>
  </si>
  <si>
    <t>Must-have count</t>
  </si>
  <si>
    <t>Developed (not yet verified)</t>
  </si>
  <si>
    <t>Percent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</si>
</sst>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0152B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B2E7E"/>
      </patternFill>
    </fill>
    <fill>
      <patternFill patternType="solid">
        <fgColor rgb="FFF2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2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2" customWidth="1"/>
    <col min="2" max="2" width="24" customWidth="1"/>
    <col min="3" max="3" width="84" customWidth="1"/>
  </cols>
  <sheetData>
    <row r="1" spans="1:1" x14ac:dyDescent="0.25">
      <c r="A1" s="4" t="s">
        <v>17</v>
      </c>
    </row>
    <row r="2" spans="1:3" x14ac:dyDescent="0.25">
      <c r="A2" t="s">
        <v>18</v>
      </c>
      <c r="B2" s="5" t="s">
        <v>19</v>
      </c>
      <c r="C2" s="6" t="s">
        <v>20</v>
      </c>
    </row>
    <row r="3" spans="1:3" x14ac:dyDescent="0.25">
      <c r="A3" t="s">
        <v>18</v>
      </c>
      <c r="B3" s="5" t="s">
        <v>21</v>
      </c>
      <c r="C3" s="6" t="s">
        <v>22</v>
      </c>
    </row>
    <row r="4" spans="1:3" x14ac:dyDescent="0.25">
      <c r="A4" t="s">
        <v>18</v>
      </c>
      <c r="B4" s="5" t="s">
        <v>23</v>
      </c>
      <c r="C4" s="6" t="s">
        <v>24</v>
      </c>
    </row>
    <row r="5" spans="1:3" x14ac:dyDescent="0.25">
      <c r="A5" t="s">
        <v>18</v>
      </c>
      <c r="B5" s="5" t="s">
        <v>25</v>
      </c>
      <c r="C5" s="6" t="s">
        <v>26</v>
      </c>
    </row>
    <row r="7" spans="1:1" x14ac:dyDescent="0.25">
      <c r="A7" s="4" t="s">
        <v>27</v>
      </c>
    </row>
    <row r="8" spans="1:3" x14ac:dyDescent="0.25">
      <c r="A8" t="s">
        <v>18</v>
      </c>
      <c r="B8" s="5" t="s">
        <v>28</v>
      </c>
      <c r="C8" s="6" t="s">
        <v>29</v>
      </c>
    </row>
    <row r="9" spans="1:3" x14ac:dyDescent="0.25">
      <c r="A9" t="s">
        <v>18</v>
      </c>
      <c r="B9" s="5" t="s">
        <v>30</v>
      </c>
      <c r="C9" s="6" t="s">
        <v>31</v>
      </c>
    </row>
    <row r="10" spans="1:3" x14ac:dyDescent="0.25">
      <c r="A10" t="s">
        <v>18</v>
      </c>
      <c r="B10" s="5" t="s">
        <v>32</v>
      </c>
      <c r="C10" s="6" t="s">
        <v>33</v>
      </c>
    </row>
    <row r="11" spans="1:3" x14ac:dyDescent="0.25">
      <c r="A11" t="s">
        <v>18</v>
      </c>
      <c r="B11" s="5" t="s">
        <v>34</v>
      </c>
      <c r="C11" s="6" t="s">
        <v>35</v>
      </c>
    </row>
    <row r="12" spans="1:3" x14ac:dyDescent="0.25">
      <c r="A12" t="s">
        <v>18</v>
      </c>
      <c r="B12" s="5" t="s">
        <v>36</v>
      </c>
      <c r="C12" s="6" t="s">
        <v>37</v>
      </c>
    </row>
    <row r="13" spans="1:3" x14ac:dyDescent="0.25">
      <c r="A13" t="s">
        <v>18</v>
      </c>
      <c r="B13" s="5" t="s">
        <v>38</v>
      </c>
      <c r="C13" s="6" t="s">
        <v>39</v>
      </c>
    </row>
    <row r="15" spans="1:1" x14ac:dyDescent="0.25">
      <c r="A15" s="4" t="s">
        <v>9</v>
      </c>
    </row>
    <row r="16" spans="1:3" x14ac:dyDescent="0.25">
      <c r="A16" t="s">
        <v>18</v>
      </c>
      <c r="B16" s="5" t="s">
        <v>40</v>
      </c>
      <c r="C16" s="6" t="s">
        <v>41</v>
      </c>
    </row>
    <row r="17" spans="1:3" x14ac:dyDescent="0.25">
      <c r="A17" t="s">
        <v>18</v>
      </c>
      <c r="B17" s="5" t="s">
        <v>42</v>
      </c>
      <c r="C17" s="6" t="s">
        <v>43</v>
      </c>
    </row>
    <row r="18" spans="1:3" x14ac:dyDescent="0.25">
      <c r="A18" t="s">
        <v>18</v>
      </c>
      <c r="B18" s="5" t="s">
        <v>44</v>
      </c>
      <c r="C18" s="6" t="s">
        <v>45</v>
      </c>
    </row>
    <row r="19" spans="1:3" x14ac:dyDescent="0.25">
      <c r="A19" t="s">
        <v>18</v>
      </c>
      <c r="B19" s="5" t="s">
        <v>46</v>
      </c>
      <c r="C19" s="6" t="s">
        <v>47</v>
      </c>
    </row>
    <row r="20" spans="1:3" x14ac:dyDescent="0.25">
      <c r="A20" t="s">
        <v>18</v>
      </c>
      <c r="B20" s="5" t="s">
        <v>48</v>
      </c>
      <c r="C20" s="6" t="s">
        <v>49</v>
      </c>
    </row>
    <row r="21" spans="1:3" x14ac:dyDescent="0.25">
      <c r="A21" t="s">
        <v>18</v>
      </c>
      <c r="B21" s="5" t="s">
        <v>50</v>
      </c>
      <c r="C21" s="6" t="s">
        <v>51</v>
      </c>
    </row>
    <row r="23" spans="1:1" x14ac:dyDescent="0.25">
      <c r="A23" s="4" t="s">
        <v>52</v>
      </c>
    </row>
    <row r="24" spans="1:3" x14ac:dyDescent="0.25">
      <c r="A24" t="s">
        <v>18</v>
      </c>
      <c r="B24" s="5" t="s">
        <v>53</v>
      </c>
      <c r="C24" s="6" t="s">
        <v>54</v>
      </c>
    </row>
    <row r="25" spans="1:3" x14ac:dyDescent="0.25">
      <c r="A25" t="s">
        <v>18</v>
      </c>
      <c r="B25" s="5" t="s">
        <v>55</v>
      </c>
      <c r="C25" s="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74" customWidth="1"/>
    <col min="4" max="4" width="15" customWidth="1"/>
    <col min="5" max="5" width="6" customWidth="1"/>
    <col min="6" max="6" width="7" customWidth="1"/>
    <col min="7" max="7" width="16" customWidth="1"/>
    <col min="8" max="8" width="15" customWidth="1"/>
    <col min="9" max="9" width="12" customWidth="1"/>
    <col min="10" max="10" width="15" customWidth="1"/>
    <col min="11" max="11" width="12" customWidth="1"/>
  </cols>
  <sheetData>
    <row r="1" ht="30" customHeight="1" spans="1:11" s="7" customFormat="1" x14ac:dyDescent="0.2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27</v>
      </c>
      <c r="G1" s="7" t="s">
        <v>62</v>
      </c>
      <c r="H1" s="7" t="s">
        <v>53</v>
      </c>
      <c r="I1" s="7" t="s">
        <v>63</v>
      </c>
      <c r="J1" s="7" t="s">
        <v>64</v>
      </c>
      <c r="K1" s="7" t="s">
        <v>9</v>
      </c>
    </row>
    <row r="2" spans="1:11" s="8" customFormat="1" x14ac:dyDescent="0.25">
      <c r="A2" s="8" t="s">
        <v>65</v>
      </c>
      <c r="B2" s="8" t="s">
        <v>66</v>
      </c>
      <c r="C2" s="8" t="s">
        <v>67</v>
      </c>
      <c r="D2" s="8" t="s">
        <v>68</v>
      </c>
      <c r="E2" s="8" t="s">
        <v>19</v>
      </c>
      <c r="F2" s="8" t="s">
        <v>28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50</v>
      </c>
    </row>
    <row r="3" spans="1:11" s="3" customFormat="1" x14ac:dyDescent="0.25">
      <c r="A3" s="3" t="s">
        <v>73</v>
      </c>
      <c r="B3" s="3" t="s">
        <v>66</v>
      </c>
      <c r="C3" s="3" t="s">
        <v>74</v>
      </c>
      <c r="D3" s="3" t="s">
        <v>68</v>
      </c>
      <c r="E3" s="3" t="s">
        <v>19</v>
      </c>
      <c r="F3" s="3" t="s">
        <v>28</v>
      </c>
      <c r="G3" s="3" t="s">
        <v>69</v>
      </c>
      <c r="H3" s="3" t="s">
        <v>70</v>
      </c>
      <c r="I3" s="3" t="s">
        <v>75</v>
      </c>
      <c r="J3" s="3" t="s">
        <v>72</v>
      </c>
      <c r="K3" s="3" t="s">
        <v>50</v>
      </c>
    </row>
    <row r="4" spans="1:11" s="8" customFormat="1" x14ac:dyDescent="0.25">
      <c r="A4" s="8" t="s">
        <v>76</v>
      </c>
      <c r="B4" s="8" t="s">
        <v>66</v>
      </c>
      <c r="C4" s="8" t="s">
        <v>77</v>
      </c>
      <c r="D4" s="8" t="s">
        <v>78</v>
      </c>
      <c r="E4" s="8" t="s">
        <v>21</v>
      </c>
      <c r="F4" s="8" t="s">
        <v>28</v>
      </c>
      <c r="G4" s="8" t="s">
        <v>69</v>
      </c>
      <c r="H4" s="8" t="s">
        <v>70</v>
      </c>
      <c r="I4" s="8" t="s">
        <v>79</v>
      </c>
      <c r="J4" s="8" t="s">
        <v>72</v>
      </c>
      <c r="K4" s="8" t="s">
        <v>50</v>
      </c>
    </row>
    <row r="5" spans="1:11" s="3" customFormat="1" x14ac:dyDescent="0.25">
      <c r="A5" s="3" t="s">
        <v>80</v>
      </c>
      <c r="B5" s="3" t="s">
        <v>81</v>
      </c>
      <c r="C5" s="3" t="s">
        <v>82</v>
      </c>
      <c r="D5" s="3" t="s">
        <v>68</v>
      </c>
      <c r="E5" s="3" t="s">
        <v>19</v>
      </c>
      <c r="F5" s="3" t="s">
        <v>28</v>
      </c>
      <c r="G5" s="3" t="s">
        <v>83</v>
      </c>
      <c r="H5" s="3" t="s">
        <v>84</v>
      </c>
      <c r="I5" s="3" t="s">
        <v>85</v>
      </c>
      <c r="J5" s="3" t="s">
        <v>72</v>
      </c>
      <c r="K5" s="3" t="s">
        <v>50</v>
      </c>
    </row>
    <row r="6" spans="1:11" s="8" customFormat="1" x14ac:dyDescent="0.25">
      <c r="A6" s="8" t="s">
        <v>86</v>
      </c>
      <c r="B6" s="8" t="s">
        <v>81</v>
      </c>
      <c r="C6" s="8" t="s">
        <v>87</v>
      </c>
      <c r="D6" s="8" t="s">
        <v>68</v>
      </c>
      <c r="E6" s="8" t="s">
        <v>19</v>
      </c>
      <c r="F6" s="8" t="s">
        <v>28</v>
      </c>
      <c r="G6" s="8" t="s">
        <v>83</v>
      </c>
      <c r="H6" s="8" t="s">
        <v>84</v>
      </c>
      <c r="I6" s="8" t="s">
        <v>88</v>
      </c>
      <c r="J6" s="8" t="s">
        <v>72</v>
      </c>
      <c r="K6" s="8" t="s">
        <v>50</v>
      </c>
    </row>
    <row r="7" spans="1:11" s="3" customFormat="1" x14ac:dyDescent="0.25">
      <c r="A7" s="3" t="s">
        <v>89</v>
      </c>
      <c r="B7" s="3" t="s">
        <v>81</v>
      </c>
      <c r="C7" s="3" t="s">
        <v>90</v>
      </c>
      <c r="D7" s="3" t="s">
        <v>68</v>
      </c>
      <c r="E7" s="3" t="s">
        <v>19</v>
      </c>
      <c r="F7" s="3" t="s">
        <v>28</v>
      </c>
      <c r="G7" s="3" t="s">
        <v>83</v>
      </c>
      <c r="H7" s="3" t="s">
        <v>84</v>
      </c>
      <c r="I7" s="3" t="s">
        <v>91</v>
      </c>
      <c r="J7" s="3" t="s">
        <v>72</v>
      </c>
      <c r="K7" s="3" t="s">
        <v>50</v>
      </c>
    </row>
    <row r="8" spans="1:11" s="8" customFormat="1" x14ac:dyDescent="0.25">
      <c r="A8" s="8" t="s">
        <v>92</v>
      </c>
      <c r="B8" s="8" t="s">
        <v>81</v>
      </c>
      <c r="C8" s="8" t="s">
        <v>93</v>
      </c>
      <c r="D8" s="8" t="s">
        <v>68</v>
      </c>
      <c r="E8" s="8" t="s">
        <v>21</v>
      </c>
      <c r="F8" s="8" t="s">
        <v>28</v>
      </c>
      <c r="G8" s="8" t="s">
        <v>83</v>
      </c>
      <c r="H8" s="8" t="s">
        <v>84</v>
      </c>
      <c r="I8" s="8" t="s">
        <v>94</v>
      </c>
      <c r="J8" s="8" t="s">
        <v>72</v>
      </c>
      <c r="K8" s="8" t="s">
        <v>46</v>
      </c>
    </row>
    <row r="9" spans="1:11" s="3" customFormat="1" x14ac:dyDescent="0.25">
      <c r="A9" s="3" t="s">
        <v>95</v>
      </c>
      <c r="B9" s="3" t="s">
        <v>81</v>
      </c>
      <c r="C9" s="3" t="s">
        <v>96</v>
      </c>
      <c r="D9" s="3" t="s">
        <v>68</v>
      </c>
      <c r="E9" s="3" t="s">
        <v>19</v>
      </c>
      <c r="F9" s="3" t="s">
        <v>28</v>
      </c>
      <c r="G9" s="3" t="s">
        <v>83</v>
      </c>
      <c r="H9" s="3" t="s">
        <v>84</v>
      </c>
      <c r="I9" s="3" t="s">
        <v>97</v>
      </c>
      <c r="J9" s="3" t="s">
        <v>72</v>
      </c>
      <c r="K9" s="3" t="s">
        <v>50</v>
      </c>
    </row>
    <row r="10" spans="1:11" s="8" customFormat="1" x14ac:dyDescent="0.25">
      <c r="A10" s="8" t="s">
        <v>98</v>
      </c>
      <c r="B10" s="8" t="s">
        <v>81</v>
      </c>
      <c r="C10" s="8" t="s">
        <v>99</v>
      </c>
      <c r="D10" s="8" t="s">
        <v>68</v>
      </c>
      <c r="E10" s="8" t="s">
        <v>21</v>
      </c>
      <c r="F10" s="8" t="s">
        <v>28</v>
      </c>
      <c r="G10" s="8" t="s">
        <v>83</v>
      </c>
      <c r="H10" s="8" t="s">
        <v>100</v>
      </c>
      <c r="I10" s="8" t="s">
        <v>101</v>
      </c>
      <c r="J10" s="8" t="s">
        <v>72</v>
      </c>
      <c r="K10" s="8" t="s">
        <v>50</v>
      </c>
    </row>
    <row r="11" spans="1:11" s="3" customFormat="1" x14ac:dyDescent="0.25">
      <c r="A11" s="3" t="s">
        <v>102</v>
      </c>
      <c r="B11" s="3" t="s">
        <v>81</v>
      </c>
      <c r="C11" s="3" t="s">
        <v>103</v>
      </c>
      <c r="D11" s="3" t="s">
        <v>68</v>
      </c>
      <c r="E11" s="3" t="s">
        <v>23</v>
      </c>
      <c r="F11" s="3" t="s">
        <v>28</v>
      </c>
      <c r="G11" s="3" t="s">
        <v>83</v>
      </c>
      <c r="H11" s="3" t="s">
        <v>84</v>
      </c>
      <c r="I11" s="3" t="s">
        <v>104</v>
      </c>
      <c r="J11" s="3" t="s">
        <v>72</v>
      </c>
      <c r="K11" s="3" t="s">
        <v>50</v>
      </c>
    </row>
    <row r="12" spans="1:11" s="8" customFormat="1" x14ac:dyDescent="0.25">
      <c r="A12" s="8" t="s">
        <v>105</v>
      </c>
      <c r="B12" s="8" t="s">
        <v>81</v>
      </c>
      <c r="C12" s="8" t="s">
        <v>106</v>
      </c>
      <c r="D12" s="8" t="s">
        <v>68</v>
      </c>
      <c r="E12" s="8" t="s">
        <v>23</v>
      </c>
      <c r="F12" s="8" t="s">
        <v>28</v>
      </c>
      <c r="G12" s="8" t="s">
        <v>83</v>
      </c>
      <c r="H12" s="8" t="s">
        <v>84</v>
      </c>
      <c r="I12" s="8" t="s">
        <v>107</v>
      </c>
      <c r="J12" s="8" t="s">
        <v>72</v>
      </c>
      <c r="K12" s="8" t="s">
        <v>50</v>
      </c>
    </row>
    <row r="13" spans="1:11" s="3" customFormat="1" x14ac:dyDescent="0.25">
      <c r="A13" s="3" t="s">
        <v>108</v>
      </c>
      <c r="B13" s="3" t="s">
        <v>109</v>
      </c>
      <c r="C13" s="3" t="s">
        <v>110</v>
      </c>
      <c r="D13" s="3" t="s">
        <v>68</v>
      </c>
      <c r="E13" s="3" t="s">
        <v>19</v>
      </c>
      <c r="F13" s="3" t="s">
        <v>28</v>
      </c>
      <c r="G13" s="3" t="s">
        <v>111</v>
      </c>
      <c r="H13" s="3" t="s">
        <v>112</v>
      </c>
      <c r="I13" s="3" t="s">
        <v>113</v>
      </c>
      <c r="J13" s="3" t="s">
        <v>72</v>
      </c>
      <c r="K13" s="3" t="s">
        <v>50</v>
      </c>
    </row>
    <row r="14" spans="1:11" s="8" customFormat="1" x14ac:dyDescent="0.25">
      <c r="A14" s="8" t="s">
        <v>114</v>
      </c>
      <c r="B14" s="8" t="s">
        <v>109</v>
      </c>
      <c r="C14" s="8" t="s">
        <v>115</v>
      </c>
      <c r="D14" s="8" t="s">
        <v>68</v>
      </c>
      <c r="E14" s="8" t="s">
        <v>19</v>
      </c>
      <c r="F14" s="8" t="s">
        <v>28</v>
      </c>
      <c r="G14" s="8" t="s">
        <v>111</v>
      </c>
      <c r="H14" s="8" t="s">
        <v>116</v>
      </c>
      <c r="I14" s="8" t="s">
        <v>117</v>
      </c>
      <c r="J14" s="8" t="s">
        <v>72</v>
      </c>
      <c r="K14" s="8" t="s">
        <v>50</v>
      </c>
    </row>
    <row r="15" spans="1:11" s="3" customFormat="1" x14ac:dyDescent="0.25">
      <c r="A15" s="3" t="s">
        <v>118</v>
      </c>
      <c r="B15" s="3" t="s">
        <v>109</v>
      </c>
      <c r="C15" s="3" t="s">
        <v>119</v>
      </c>
      <c r="D15" s="3" t="s">
        <v>78</v>
      </c>
      <c r="E15" s="3" t="s">
        <v>21</v>
      </c>
      <c r="F15" s="3" t="s">
        <v>28</v>
      </c>
      <c r="G15" s="3" t="s">
        <v>111</v>
      </c>
      <c r="H15" s="3" t="s">
        <v>112</v>
      </c>
      <c r="I15" s="3" t="s">
        <v>120</v>
      </c>
      <c r="J15" s="3" t="s">
        <v>72</v>
      </c>
      <c r="K15" s="3" t="s">
        <v>50</v>
      </c>
    </row>
    <row r="16" spans="1:11" s="8" customFormat="1" x14ac:dyDescent="0.25">
      <c r="A16" s="8" t="s">
        <v>121</v>
      </c>
      <c r="B16" s="8" t="s">
        <v>109</v>
      </c>
      <c r="C16" s="8" t="s">
        <v>122</v>
      </c>
      <c r="D16" s="8" t="s">
        <v>68</v>
      </c>
      <c r="E16" s="8" t="s">
        <v>21</v>
      </c>
      <c r="F16" s="8" t="s">
        <v>28</v>
      </c>
      <c r="G16" s="8" t="s">
        <v>111</v>
      </c>
      <c r="H16" s="8" t="s">
        <v>100</v>
      </c>
      <c r="I16" s="8" t="s">
        <v>123</v>
      </c>
      <c r="J16" s="8" t="s">
        <v>72</v>
      </c>
      <c r="K16" s="8" t="s">
        <v>50</v>
      </c>
    </row>
    <row r="17" spans="1:11" s="3" customFormat="1" x14ac:dyDescent="0.25">
      <c r="A17" s="3" t="s">
        <v>124</v>
      </c>
      <c r="B17" s="3" t="s">
        <v>109</v>
      </c>
      <c r="C17" s="3" t="s">
        <v>125</v>
      </c>
      <c r="D17" s="3" t="s">
        <v>68</v>
      </c>
      <c r="E17" s="3" t="s">
        <v>19</v>
      </c>
      <c r="F17" s="3" t="s">
        <v>28</v>
      </c>
      <c r="G17" s="3" t="s">
        <v>111</v>
      </c>
      <c r="H17" s="3" t="s">
        <v>126</v>
      </c>
      <c r="I17" s="3" t="s">
        <v>127</v>
      </c>
      <c r="J17" s="3" t="s">
        <v>72</v>
      </c>
      <c r="K17" s="3" t="s">
        <v>50</v>
      </c>
    </row>
    <row r="18" spans="1:11" s="8" customFormat="1" x14ac:dyDescent="0.25">
      <c r="A18" s="8" t="s">
        <v>128</v>
      </c>
      <c r="B18" s="8" t="s">
        <v>129</v>
      </c>
      <c r="C18" s="8" t="s">
        <v>130</v>
      </c>
      <c r="D18" s="8" t="s">
        <v>131</v>
      </c>
      <c r="E18" s="8" t="s">
        <v>19</v>
      </c>
      <c r="F18" s="8" t="s">
        <v>28</v>
      </c>
      <c r="G18" s="8" t="s">
        <v>132</v>
      </c>
      <c r="H18" s="8" t="s">
        <v>133</v>
      </c>
      <c r="I18" s="8" t="s">
        <v>134</v>
      </c>
      <c r="J18" s="8" t="s">
        <v>72</v>
      </c>
      <c r="K18" s="8" t="s">
        <v>50</v>
      </c>
    </row>
    <row r="19" spans="1:11" s="3" customFormat="1" x14ac:dyDescent="0.25">
      <c r="A19" s="3" t="s">
        <v>135</v>
      </c>
      <c r="B19" s="3" t="s">
        <v>129</v>
      </c>
      <c r="C19" s="3" t="s">
        <v>136</v>
      </c>
      <c r="D19" s="3" t="s">
        <v>78</v>
      </c>
      <c r="E19" s="3" t="s">
        <v>21</v>
      </c>
      <c r="F19" s="3" t="s">
        <v>28</v>
      </c>
      <c r="G19" s="3" t="s">
        <v>132</v>
      </c>
      <c r="H19" s="3" t="s">
        <v>133</v>
      </c>
      <c r="I19" s="3" t="s">
        <v>137</v>
      </c>
      <c r="J19" s="3" t="s">
        <v>72</v>
      </c>
      <c r="K19" s="3" t="s">
        <v>50</v>
      </c>
    </row>
    <row r="20" spans="1:11" s="8" customFormat="1" x14ac:dyDescent="0.25">
      <c r="A20" s="8" t="s">
        <v>138</v>
      </c>
      <c r="B20" s="8" t="s">
        <v>129</v>
      </c>
      <c r="C20" s="8" t="s">
        <v>139</v>
      </c>
      <c r="D20" s="8" t="s">
        <v>131</v>
      </c>
      <c r="E20" s="8" t="s">
        <v>21</v>
      </c>
      <c r="F20" s="8" t="s">
        <v>28</v>
      </c>
      <c r="G20" s="8" t="s">
        <v>132</v>
      </c>
      <c r="H20" s="8" t="s">
        <v>133</v>
      </c>
      <c r="I20" s="8" t="s">
        <v>140</v>
      </c>
      <c r="J20" s="8" t="s">
        <v>72</v>
      </c>
      <c r="K20" s="8" t="s">
        <v>50</v>
      </c>
    </row>
    <row r="21" spans="1:11" s="3" customFormat="1" x14ac:dyDescent="0.25">
      <c r="A21" s="3" t="s">
        <v>141</v>
      </c>
      <c r="B21" s="3" t="s">
        <v>142</v>
      </c>
      <c r="C21" s="3" t="s">
        <v>143</v>
      </c>
      <c r="D21" s="3" t="s">
        <v>68</v>
      </c>
      <c r="E21" s="3" t="s">
        <v>19</v>
      </c>
      <c r="F21" s="3" t="s">
        <v>28</v>
      </c>
      <c r="G21" s="3" t="s">
        <v>144</v>
      </c>
      <c r="H21" s="3" t="s">
        <v>145</v>
      </c>
      <c r="I21" s="3" t="s">
        <v>146</v>
      </c>
      <c r="J21" s="3" t="s">
        <v>72</v>
      </c>
      <c r="K21" s="3" t="s">
        <v>50</v>
      </c>
    </row>
    <row r="22" spans="1:11" s="8" customFormat="1" x14ac:dyDescent="0.25">
      <c r="A22" s="8" t="s">
        <v>147</v>
      </c>
      <c r="B22" s="8" t="s">
        <v>142</v>
      </c>
      <c r="C22" s="8" t="s">
        <v>148</v>
      </c>
      <c r="D22" s="8" t="s">
        <v>149</v>
      </c>
      <c r="E22" s="8" t="s">
        <v>21</v>
      </c>
      <c r="F22" s="8" t="s">
        <v>28</v>
      </c>
      <c r="G22" s="8" t="s">
        <v>144</v>
      </c>
      <c r="H22" s="8" t="s">
        <v>150</v>
      </c>
      <c r="I22" s="8" t="s">
        <v>151</v>
      </c>
      <c r="J22" s="8" t="s">
        <v>72</v>
      </c>
      <c r="K22" s="8" t="s">
        <v>50</v>
      </c>
    </row>
    <row r="23" spans="1:11" s="3" customFormat="1" x14ac:dyDescent="0.25">
      <c r="A23" s="3" t="s">
        <v>152</v>
      </c>
      <c r="B23" s="3" t="s">
        <v>142</v>
      </c>
      <c r="C23" s="3" t="s">
        <v>153</v>
      </c>
      <c r="D23" s="3" t="s">
        <v>68</v>
      </c>
      <c r="E23" s="3" t="s">
        <v>21</v>
      </c>
      <c r="F23" s="3" t="s">
        <v>28</v>
      </c>
      <c r="G23" s="3" t="s">
        <v>144</v>
      </c>
      <c r="H23" s="3" t="s">
        <v>150</v>
      </c>
      <c r="I23" s="3" t="s">
        <v>154</v>
      </c>
      <c r="J23" s="3" t="s">
        <v>72</v>
      </c>
      <c r="K23" s="3" t="s">
        <v>50</v>
      </c>
    </row>
    <row r="24" spans="1:11" s="8" customFormat="1" x14ac:dyDescent="0.25">
      <c r="A24" s="8" t="s">
        <v>155</v>
      </c>
      <c r="B24" s="8" t="s">
        <v>156</v>
      </c>
      <c r="C24" s="8" t="s">
        <v>157</v>
      </c>
      <c r="D24" s="8" t="s">
        <v>68</v>
      </c>
      <c r="E24" s="8" t="s">
        <v>19</v>
      </c>
      <c r="F24" s="8" t="s">
        <v>28</v>
      </c>
      <c r="G24" s="8" t="s">
        <v>158</v>
      </c>
      <c r="H24" s="8" t="s">
        <v>159</v>
      </c>
      <c r="I24" s="8" t="s">
        <v>160</v>
      </c>
      <c r="J24" s="8" t="s">
        <v>72</v>
      </c>
      <c r="K24" s="8" t="s">
        <v>50</v>
      </c>
    </row>
    <row r="25" spans="1:11" s="3" customFormat="1" x14ac:dyDescent="0.25">
      <c r="A25" s="3" t="s">
        <v>161</v>
      </c>
      <c r="B25" s="3" t="s">
        <v>156</v>
      </c>
      <c r="C25" s="3" t="s">
        <v>162</v>
      </c>
      <c r="D25" s="3" t="s">
        <v>68</v>
      </c>
      <c r="E25" s="3" t="s">
        <v>21</v>
      </c>
      <c r="F25" s="3" t="s">
        <v>28</v>
      </c>
      <c r="G25" s="3" t="s">
        <v>158</v>
      </c>
      <c r="H25" s="3" t="s">
        <v>159</v>
      </c>
      <c r="I25" s="3" t="s">
        <v>163</v>
      </c>
      <c r="J25" s="3" t="s">
        <v>72</v>
      </c>
      <c r="K25" s="3" t="s">
        <v>50</v>
      </c>
    </row>
    <row r="26" spans="1:11" s="8" customFormat="1" x14ac:dyDescent="0.25">
      <c r="A26" s="8" t="s">
        <v>164</v>
      </c>
      <c r="B26" s="8" t="s">
        <v>165</v>
      </c>
      <c r="C26" s="8" t="s">
        <v>166</v>
      </c>
      <c r="D26" s="8" t="s">
        <v>68</v>
      </c>
      <c r="E26" s="8" t="s">
        <v>19</v>
      </c>
      <c r="F26" s="8" t="s">
        <v>28</v>
      </c>
      <c r="G26" s="8" t="s">
        <v>167</v>
      </c>
      <c r="H26" s="8" t="s">
        <v>168</v>
      </c>
      <c r="I26" s="8" t="s">
        <v>169</v>
      </c>
      <c r="J26" s="8" t="s">
        <v>72</v>
      </c>
      <c r="K26" s="8" t="s">
        <v>50</v>
      </c>
    </row>
    <row r="27" spans="1:11" s="3" customFormat="1" x14ac:dyDescent="0.25">
      <c r="A27" s="3" t="s">
        <v>170</v>
      </c>
      <c r="B27" s="3" t="s">
        <v>165</v>
      </c>
      <c r="C27" s="3" t="s">
        <v>171</v>
      </c>
      <c r="D27" s="3" t="s">
        <v>68</v>
      </c>
      <c r="E27" s="3" t="s">
        <v>19</v>
      </c>
      <c r="F27" s="3" t="s">
        <v>28</v>
      </c>
      <c r="G27" s="3" t="s">
        <v>167</v>
      </c>
      <c r="H27" s="3" t="s">
        <v>172</v>
      </c>
      <c r="I27" s="3" t="s">
        <v>173</v>
      </c>
      <c r="J27" s="3" t="s">
        <v>72</v>
      </c>
      <c r="K27" s="3" t="s">
        <v>50</v>
      </c>
    </row>
    <row r="28" spans="1:11" s="8" customFormat="1" x14ac:dyDescent="0.25">
      <c r="A28" s="8" t="s">
        <v>174</v>
      </c>
      <c r="B28" s="8" t="s">
        <v>165</v>
      </c>
      <c r="C28" s="8" t="s">
        <v>175</v>
      </c>
      <c r="D28" s="8" t="s">
        <v>68</v>
      </c>
      <c r="E28" s="8" t="s">
        <v>21</v>
      </c>
      <c r="F28" s="8" t="s">
        <v>28</v>
      </c>
      <c r="G28" s="8" t="s">
        <v>167</v>
      </c>
      <c r="H28" s="8" t="s">
        <v>172</v>
      </c>
      <c r="I28" s="8" t="s">
        <v>176</v>
      </c>
      <c r="J28" s="8" t="s">
        <v>72</v>
      </c>
      <c r="K28" s="8" t="s">
        <v>50</v>
      </c>
    </row>
    <row r="29" spans="1:11" s="3" customFormat="1" x14ac:dyDescent="0.25">
      <c r="A29" s="3" t="s">
        <v>177</v>
      </c>
      <c r="B29" s="3" t="s">
        <v>165</v>
      </c>
      <c r="C29" s="3" t="s">
        <v>178</v>
      </c>
      <c r="D29" s="3" t="s">
        <v>78</v>
      </c>
      <c r="E29" s="3" t="s">
        <v>19</v>
      </c>
      <c r="F29" s="3" t="s">
        <v>28</v>
      </c>
      <c r="G29" s="3" t="s">
        <v>167</v>
      </c>
      <c r="H29" s="3" t="s">
        <v>179</v>
      </c>
      <c r="I29" s="3" t="s">
        <v>180</v>
      </c>
      <c r="J29" s="3" t="s">
        <v>72</v>
      </c>
      <c r="K29" s="3" t="s">
        <v>50</v>
      </c>
    </row>
    <row r="30" spans="1:11" s="8" customFormat="1" x14ac:dyDescent="0.25">
      <c r="A30" s="8" t="s">
        <v>181</v>
      </c>
      <c r="B30" s="8" t="s">
        <v>165</v>
      </c>
      <c r="C30" s="8" t="s">
        <v>182</v>
      </c>
      <c r="D30" s="8" t="s">
        <v>68</v>
      </c>
      <c r="E30" s="8" t="s">
        <v>21</v>
      </c>
      <c r="F30" s="8" t="s">
        <v>28</v>
      </c>
      <c r="G30" s="8" t="s">
        <v>167</v>
      </c>
      <c r="H30" s="8" t="s">
        <v>183</v>
      </c>
      <c r="I30" s="8" t="s">
        <v>184</v>
      </c>
      <c r="J30" s="8" t="s">
        <v>72</v>
      </c>
      <c r="K30" s="8" t="s">
        <v>50</v>
      </c>
    </row>
    <row r="31" spans="1:11" s="3" customFormat="1" x14ac:dyDescent="0.25">
      <c r="A31" s="3" t="s">
        <v>185</v>
      </c>
      <c r="B31" s="3" t="s">
        <v>165</v>
      </c>
      <c r="C31" s="3" t="s">
        <v>186</v>
      </c>
      <c r="D31" s="3" t="s">
        <v>68</v>
      </c>
      <c r="E31" s="3" t="s">
        <v>23</v>
      </c>
      <c r="F31" s="3" t="s">
        <v>28</v>
      </c>
      <c r="G31" s="3" t="s">
        <v>83</v>
      </c>
      <c r="H31" s="3" t="s">
        <v>84</v>
      </c>
      <c r="I31" s="3" t="s">
        <v>187</v>
      </c>
      <c r="J31" s="3" t="s">
        <v>72</v>
      </c>
      <c r="K31" s="3" t="s">
        <v>50</v>
      </c>
    </row>
    <row r="32" spans="1:11" s="8" customFormat="1" x14ac:dyDescent="0.25">
      <c r="A32" s="8" t="s">
        <v>188</v>
      </c>
      <c r="B32" s="8" t="s">
        <v>165</v>
      </c>
      <c r="C32" s="8" t="s">
        <v>189</v>
      </c>
      <c r="D32" s="8" t="s">
        <v>68</v>
      </c>
      <c r="E32" s="8" t="s">
        <v>23</v>
      </c>
      <c r="F32" s="8" t="s">
        <v>28</v>
      </c>
      <c r="G32" s="8" t="s">
        <v>167</v>
      </c>
      <c r="H32" s="8" t="s">
        <v>190</v>
      </c>
      <c r="I32" s="8" t="s">
        <v>191</v>
      </c>
      <c r="J32" s="8" t="s">
        <v>72</v>
      </c>
      <c r="K32" s="8" t="s">
        <v>50</v>
      </c>
    </row>
    <row r="33" spans="1:11" s="3" customFormat="1" x14ac:dyDescent="0.25">
      <c r="A33" s="3" t="s">
        <v>192</v>
      </c>
      <c r="B33" s="3" t="s">
        <v>193</v>
      </c>
      <c r="C33" s="3" t="s">
        <v>194</v>
      </c>
      <c r="D33" s="3" t="s">
        <v>195</v>
      </c>
      <c r="E33" s="3" t="s">
        <v>19</v>
      </c>
      <c r="F33" s="3" t="s">
        <v>28</v>
      </c>
      <c r="G33" s="3" t="s">
        <v>196</v>
      </c>
      <c r="H33" s="3" t="s">
        <v>197</v>
      </c>
      <c r="I33" s="3" t="s">
        <v>198</v>
      </c>
      <c r="J33" s="3" t="s">
        <v>72</v>
      </c>
      <c r="K33" s="3" t="s">
        <v>50</v>
      </c>
    </row>
    <row r="34" spans="1:11" s="8" customFormat="1" x14ac:dyDescent="0.25">
      <c r="A34" s="8" t="s">
        <v>199</v>
      </c>
      <c r="B34" s="8" t="s">
        <v>193</v>
      </c>
      <c r="C34" s="8" t="s">
        <v>200</v>
      </c>
      <c r="D34" s="8" t="s">
        <v>195</v>
      </c>
      <c r="E34" s="8" t="s">
        <v>21</v>
      </c>
      <c r="F34" s="8" t="s">
        <v>28</v>
      </c>
      <c r="G34" s="8" t="s">
        <v>196</v>
      </c>
      <c r="H34" s="8" t="s">
        <v>201</v>
      </c>
      <c r="I34" s="8" t="s">
        <v>202</v>
      </c>
      <c r="J34" s="8" t="s">
        <v>72</v>
      </c>
      <c r="K34" s="8" t="s">
        <v>46</v>
      </c>
    </row>
    <row r="35" spans="1:11" s="3" customFormat="1" x14ac:dyDescent="0.25">
      <c r="A35" s="3" t="s">
        <v>203</v>
      </c>
      <c r="B35" s="3" t="s">
        <v>193</v>
      </c>
      <c r="C35" s="3" t="s">
        <v>204</v>
      </c>
      <c r="D35" s="3" t="s">
        <v>78</v>
      </c>
      <c r="E35" s="3" t="s">
        <v>19</v>
      </c>
      <c r="F35" s="3" t="s">
        <v>28</v>
      </c>
      <c r="G35" s="3" t="s">
        <v>196</v>
      </c>
      <c r="H35" s="3" t="s">
        <v>205</v>
      </c>
      <c r="I35" s="3" t="s">
        <v>206</v>
      </c>
      <c r="J35" s="3" t="s">
        <v>72</v>
      </c>
      <c r="K35" s="3" t="s">
        <v>50</v>
      </c>
    </row>
    <row r="36" spans="1:11" s="8" customFormat="1" x14ac:dyDescent="0.25">
      <c r="A36" s="8" t="s">
        <v>207</v>
      </c>
      <c r="B36" s="8" t="s">
        <v>193</v>
      </c>
      <c r="C36" s="8" t="s">
        <v>208</v>
      </c>
      <c r="D36" s="8" t="s">
        <v>195</v>
      </c>
      <c r="E36" s="8" t="s">
        <v>19</v>
      </c>
      <c r="F36" s="8" t="s">
        <v>28</v>
      </c>
      <c r="G36" s="8" t="s">
        <v>196</v>
      </c>
      <c r="H36" s="8" t="s">
        <v>197</v>
      </c>
      <c r="I36" s="8" t="s">
        <v>209</v>
      </c>
      <c r="J36" s="8" t="s">
        <v>72</v>
      </c>
      <c r="K36" s="8" t="s">
        <v>50</v>
      </c>
    </row>
    <row r="37" spans="1:11" s="3" customFormat="1" x14ac:dyDescent="0.25">
      <c r="A37" s="3" t="s">
        <v>210</v>
      </c>
      <c r="B37" s="3" t="s">
        <v>211</v>
      </c>
      <c r="C37" s="3" t="s">
        <v>212</v>
      </c>
      <c r="D37" s="3" t="s">
        <v>213</v>
      </c>
      <c r="E37" s="3" t="s">
        <v>19</v>
      </c>
      <c r="F37" s="3" t="s">
        <v>28</v>
      </c>
      <c r="G37" s="3" t="s">
        <v>214</v>
      </c>
      <c r="H37" s="3" t="s">
        <v>215</v>
      </c>
      <c r="I37" s="3" t="s">
        <v>216</v>
      </c>
      <c r="J37" s="3" t="s">
        <v>217</v>
      </c>
      <c r="K37" s="3" t="s">
        <v>46</v>
      </c>
    </row>
    <row r="38" spans="1:11" s="8" customFormat="1" x14ac:dyDescent="0.25">
      <c r="A38" s="8" t="s">
        <v>218</v>
      </c>
      <c r="B38" s="8" t="s">
        <v>211</v>
      </c>
      <c r="C38" s="8" t="s">
        <v>219</v>
      </c>
      <c r="D38" s="8" t="s">
        <v>213</v>
      </c>
      <c r="E38" s="8" t="s">
        <v>21</v>
      </c>
      <c r="F38" s="8" t="s">
        <v>28</v>
      </c>
      <c r="G38" s="8" t="s">
        <v>214</v>
      </c>
      <c r="H38" s="8" t="s">
        <v>220</v>
      </c>
      <c r="I38" s="8" t="s">
        <v>221</v>
      </c>
      <c r="J38" s="8" t="s">
        <v>72</v>
      </c>
      <c r="K38" s="8" t="s">
        <v>46</v>
      </c>
    </row>
    <row r="39" spans="1:11" s="3" customFormat="1" x14ac:dyDescent="0.25">
      <c r="A39" s="3" t="s">
        <v>222</v>
      </c>
      <c r="B39" s="3" t="s">
        <v>193</v>
      </c>
      <c r="C39" s="3" t="s">
        <v>223</v>
      </c>
      <c r="D39" s="3" t="s">
        <v>213</v>
      </c>
      <c r="E39" s="3" t="s">
        <v>21</v>
      </c>
      <c r="F39" s="3" t="s">
        <v>28</v>
      </c>
      <c r="G39" s="3" t="s">
        <v>196</v>
      </c>
      <c r="H39" s="3" t="s">
        <v>224</v>
      </c>
      <c r="I39" s="3" t="s">
        <v>225</v>
      </c>
      <c r="J39" s="3" t="s">
        <v>72</v>
      </c>
      <c r="K39" s="3" t="s">
        <v>46</v>
      </c>
    </row>
    <row r="40" spans="1:11" s="8" customFormat="1" x14ac:dyDescent="0.25">
      <c r="A40" s="8" t="s">
        <v>226</v>
      </c>
      <c r="B40" s="8" t="s">
        <v>193</v>
      </c>
      <c r="C40" s="8" t="s">
        <v>227</v>
      </c>
      <c r="D40" s="8" t="s">
        <v>213</v>
      </c>
      <c r="E40" s="8" t="s">
        <v>21</v>
      </c>
      <c r="F40" s="8" t="s">
        <v>28</v>
      </c>
      <c r="G40" s="8" t="s">
        <v>228</v>
      </c>
      <c r="H40" s="8" t="s">
        <v>229</v>
      </c>
      <c r="I40" s="8" t="s">
        <v>230</v>
      </c>
      <c r="J40" s="8" t="s">
        <v>72</v>
      </c>
      <c r="K40" s="8" t="s">
        <v>50</v>
      </c>
    </row>
    <row r="41" spans="1:11" s="3" customFormat="1" x14ac:dyDescent="0.25">
      <c r="A41" s="3" t="s">
        <v>231</v>
      </c>
      <c r="B41" s="3" t="s">
        <v>81</v>
      </c>
      <c r="C41" s="3" t="s">
        <v>232</v>
      </c>
      <c r="D41" s="3" t="s">
        <v>68</v>
      </c>
      <c r="E41" s="3" t="s">
        <v>19</v>
      </c>
      <c r="F41" s="3" t="s">
        <v>28</v>
      </c>
      <c r="G41" s="3" t="s">
        <v>83</v>
      </c>
      <c r="H41" s="3" t="s">
        <v>233</v>
      </c>
      <c r="I41" s="3" t="s">
        <v>234</v>
      </c>
      <c r="J41" s="3" t="s">
        <v>72</v>
      </c>
      <c r="K41" s="3" t="s">
        <v>50</v>
      </c>
    </row>
    <row r="42" spans="1:11" s="8" customFormat="1" x14ac:dyDescent="0.25">
      <c r="A42" s="8" t="s">
        <v>235</v>
      </c>
      <c r="B42" s="8" t="s">
        <v>81</v>
      </c>
      <c r="C42" s="8" t="s">
        <v>236</v>
      </c>
      <c r="D42" s="8" t="s">
        <v>68</v>
      </c>
      <c r="E42" s="8" t="s">
        <v>19</v>
      </c>
      <c r="F42" s="8" t="s">
        <v>28</v>
      </c>
      <c r="G42" s="8" t="s">
        <v>83</v>
      </c>
      <c r="H42" s="8" t="s">
        <v>237</v>
      </c>
      <c r="I42" s="8" t="s">
        <v>238</v>
      </c>
      <c r="J42" s="8" t="s">
        <v>72</v>
      </c>
      <c r="K42" s="8" t="s">
        <v>50</v>
      </c>
    </row>
    <row r="43" spans="1:11" s="3" customFormat="1" x14ac:dyDescent="0.25">
      <c r="A43" s="3" t="s">
        <v>239</v>
      </c>
      <c r="B43" s="3" t="s">
        <v>81</v>
      </c>
      <c r="C43" s="3" t="s">
        <v>240</v>
      </c>
      <c r="D43" s="3" t="s">
        <v>68</v>
      </c>
      <c r="E43" s="3" t="s">
        <v>19</v>
      </c>
      <c r="F43" s="3" t="s">
        <v>28</v>
      </c>
      <c r="G43" s="3" t="s">
        <v>83</v>
      </c>
      <c r="H43" s="3" t="s">
        <v>237</v>
      </c>
      <c r="I43" s="3" t="s">
        <v>241</v>
      </c>
      <c r="J43" s="3" t="s">
        <v>72</v>
      </c>
      <c r="K43" s="3" t="s">
        <v>50</v>
      </c>
    </row>
    <row r="44" spans="1:11" s="8" customFormat="1" x14ac:dyDescent="0.25">
      <c r="A44" s="8" t="s">
        <v>242</v>
      </c>
      <c r="B44" s="8" t="s">
        <v>81</v>
      </c>
      <c r="C44" s="8" t="s">
        <v>243</v>
      </c>
      <c r="D44" s="8" t="s">
        <v>68</v>
      </c>
      <c r="E44" s="8" t="s">
        <v>21</v>
      </c>
      <c r="F44" s="8" t="s">
        <v>28</v>
      </c>
      <c r="G44" s="8" t="s">
        <v>83</v>
      </c>
      <c r="H44" s="8" t="s">
        <v>237</v>
      </c>
      <c r="I44" s="8" t="s">
        <v>244</v>
      </c>
      <c r="J44" s="8" t="s">
        <v>72</v>
      </c>
      <c r="K44" s="8" t="s">
        <v>50</v>
      </c>
    </row>
    <row r="45" spans="1:11" s="3" customFormat="1" x14ac:dyDescent="0.25">
      <c r="A45" s="3" t="s">
        <v>245</v>
      </c>
      <c r="B45" s="3" t="s">
        <v>81</v>
      </c>
      <c r="C45" s="3" t="s">
        <v>246</v>
      </c>
      <c r="D45" s="3" t="s">
        <v>68</v>
      </c>
      <c r="E45" s="3" t="s">
        <v>21</v>
      </c>
      <c r="F45" s="3" t="s">
        <v>28</v>
      </c>
      <c r="G45" s="3" t="s">
        <v>83</v>
      </c>
      <c r="H45" s="3" t="s">
        <v>237</v>
      </c>
      <c r="I45" s="3" t="s">
        <v>247</v>
      </c>
      <c r="J45" s="3" t="s">
        <v>72</v>
      </c>
      <c r="K45" s="3" t="s">
        <v>50</v>
      </c>
    </row>
    <row r="46" spans="1:11" s="8" customFormat="1" x14ac:dyDescent="0.25">
      <c r="A46" s="8" t="s">
        <v>248</v>
      </c>
      <c r="B46" s="8" t="s">
        <v>81</v>
      </c>
      <c r="C46" s="8" t="s">
        <v>249</v>
      </c>
      <c r="D46" s="8" t="s">
        <v>68</v>
      </c>
      <c r="E46" s="8" t="s">
        <v>21</v>
      </c>
      <c r="F46" s="8" t="s">
        <v>28</v>
      </c>
      <c r="G46" s="8" t="s">
        <v>83</v>
      </c>
      <c r="H46" s="8" t="s">
        <v>84</v>
      </c>
      <c r="I46" s="8" t="s">
        <v>250</v>
      </c>
      <c r="J46" s="8" t="s">
        <v>72</v>
      </c>
      <c r="K46" s="8" t="s">
        <v>50</v>
      </c>
    </row>
    <row r="47" spans="1:11" s="3" customFormat="1" x14ac:dyDescent="0.25">
      <c r="A47" s="3" t="s">
        <v>251</v>
      </c>
      <c r="B47" s="3" t="s">
        <v>81</v>
      </c>
      <c r="C47" s="3" t="s">
        <v>252</v>
      </c>
      <c r="D47" s="3" t="s">
        <v>68</v>
      </c>
      <c r="E47" s="3" t="s">
        <v>19</v>
      </c>
      <c r="F47" s="3" t="s">
        <v>28</v>
      </c>
      <c r="G47" s="3" t="s">
        <v>83</v>
      </c>
      <c r="H47" s="3" t="s">
        <v>100</v>
      </c>
      <c r="I47" s="3" t="s">
        <v>253</v>
      </c>
      <c r="J47" s="3" t="s">
        <v>72</v>
      </c>
      <c r="K47" s="3" t="s">
        <v>50</v>
      </c>
    </row>
    <row r="48" spans="1:11" s="8" customFormat="1" x14ac:dyDescent="0.25">
      <c r="A48" s="8" t="s">
        <v>254</v>
      </c>
      <c r="B48" s="8" t="s">
        <v>81</v>
      </c>
      <c r="C48" s="8" t="s">
        <v>255</v>
      </c>
      <c r="D48" s="8" t="s">
        <v>68</v>
      </c>
      <c r="E48" s="8" t="s">
        <v>19</v>
      </c>
      <c r="F48" s="8" t="s">
        <v>28</v>
      </c>
      <c r="G48" s="8" t="s">
        <v>83</v>
      </c>
      <c r="H48" s="8" t="s">
        <v>190</v>
      </c>
      <c r="I48" s="8" t="s">
        <v>256</v>
      </c>
      <c r="J48" s="8" t="s">
        <v>72</v>
      </c>
      <c r="K48" s="8" t="s">
        <v>50</v>
      </c>
    </row>
    <row r="49" spans="1:11" s="3" customFormat="1" x14ac:dyDescent="0.25">
      <c r="A49" s="3" t="s">
        <v>257</v>
      </c>
      <c r="B49" s="3" t="s">
        <v>258</v>
      </c>
      <c r="C49" s="3" t="s">
        <v>259</v>
      </c>
      <c r="D49" s="3" t="s">
        <v>68</v>
      </c>
      <c r="E49" s="3" t="s">
        <v>19</v>
      </c>
      <c r="F49" s="3" t="s">
        <v>28</v>
      </c>
      <c r="G49" s="3" t="s">
        <v>260</v>
      </c>
      <c r="H49" s="3" t="s">
        <v>261</v>
      </c>
      <c r="I49" s="3" t="s">
        <v>262</v>
      </c>
      <c r="J49" s="3" t="s">
        <v>72</v>
      </c>
      <c r="K49" s="3" t="s">
        <v>50</v>
      </c>
    </row>
    <row r="50" spans="1:11" s="8" customFormat="1" x14ac:dyDescent="0.25">
      <c r="A50" s="8" t="s">
        <v>263</v>
      </c>
      <c r="B50" s="8" t="s">
        <v>258</v>
      </c>
      <c r="C50" s="8" t="s">
        <v>264</v>
      </c>
      <c r="D50" s="8" t="s">
        <v>68</v>
      </c>
      <c r="E50" s="8" t="s">
        <v>21</v>
      </c>
      <c r="F50" s="8" t="s">
        <v>28</v>
      </c>
      <c r="G50" s="8" t="s">
        <v>260</v>
      </c>
      <c r="H50" s="8" t="s">
        <v>261</v>
      </c>
      <c r="I50" s="8" t="s">
        <v>265</v>
      </c>
      <c r="J50" s="8" t="s">
        <v>72</v>
      </c>
      <c r="K50" s="8" t="s">
        <v>50</v>
      </c>
    </row>
    <row r="51" spans="1:11" s="3" customFormat="1" x14ac:dyDescent="0.25">
      <c r="A51" s="3" t="s">
        <v>266</v>
      </c>
      <c r="B51" s="3" t="s">
        <v>129</v>
      </c>
      <c r="C51" s="3" t="s">
        <v>267</v>
      </c>
      <c r="D51" s="3" t="s">
        <v>131</v>
      </c>
      <c r="E51" s="3" t="s">
        <v>19</v>
      </c>
      <c r="F51" s="3" t="s">
        <v>28</v>
      </c>
      <c r="G51" s="3" t="s">
        <v>132</v>
      </c>
      <c r="H51" s="3" t="s">
        <v>133</v>
      </c>
      <c r="I51" s="3" t="s">
        <v>268</v>
      </c>
      <c r="J51" s="3" t="s">
        <v>72</v>
      </c>
      <c r="K51" s="3" t="s">
        <v>50</v>
      </c>
    </row>
    <row r="52" spans="1:11" s="8" customFormat="1" x14ac:dyDescent="0.25">
      <c r="A52" s="8" t="s">
        <v>269</v>
      </c>
      <c r="B52" s="8" t="s">
        <v>165</v>
      </c>
      <c r="C52" s="8" t="s">
        <v>270</v>
      </c>
      <c r="D52" s="8" t="s">
        <v>68</v>
      </c>
      <c r="E52" s="8" t="s">
        <v>19</v>
      </c>
      <c r="F52" s="8" t="s">
        <v>28</v>
      </c>
      <c r="G52" s="8" t="s">
        <v>167</v>
      </c>
      <c r="H52" s="8" t="s">
        <v>168</v>
      </c>
      <c r="I52" s="8" t="s">
        <v>271</v>
      </c>
      <c r="J52" s="8" t="s">
        <v>72</v>
      </c>
      <c r="K52" s="8" t="s">
        <v>50</v>
      </c>
    </row>
    <row r="53" spans="1:11" s="3" customFormat="1" x14ac:dyDescent="0.25">
      <c r="A53" s="3" t="s">
        <v>272</v>
      </c>
      <c r="B53" s="3" t="s">
        <v>193</v>
      </c>
      <c r="C53" s="3" t="s">
        <v>273</v>
      </c>
      <c r="D53" s="3" t="s">
        <v>213</v>
      </c>
      <c r="E53" s="3" t="s">
        <v>19</v>
      </c>
      <c r="F53" s="3" t="s">
        <v>28</v>
      </c>
      <c r="G53" s="3" t="s">
        <v>274</v>
      </c>
      <c r="H53" s="3" t="s">
        <v>275</v>
      </c>
      <c r="I53" s="3" t="s">
        <v>276</v>
      </c>
      <c r="J53" s="3" t="s">
        <v>72</v>
      </c>
      <c r="K53" s="3" t="s">
        <v>50</v>
      </c>
    </row>
    <row r="54" spans="1:11" s="8" customFormat="1" x14ac:dyDescent="0.25">
      <c r="A54" s="8" t="s">
        <v>277</v>
      </c>
      <c r="B54" s="8" t="s">
        <v>193</v>
      </c>
      <c r="C54" s="8" t="s">
        <v>278</v>
      </c>
      <c r="D54" s="8" t="s">
        <v>213</v>
      </c>
      <c r="E54" s="8" t="s">
        <v>19</v>
      </c>
      <c r="F54" s="8" t="s">
        <v>28</v>
      </c>
      <c r="G54" s="8" t="s">
        <v>274</v>
      </c>
      <c r="H54" s="8" t="s">
        <v>275</v>
      </c>
      <c r="I54" s="8" t="s">
        <v>279</v>
      </c>
      <c r="J54" s="8" t="s">
        <v>72</v>
      </c>
      <c r="K54" s="8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74" customWidth="1"/>
    <col min="4" max="4" width="15" customWidth="1"/>
    <col min="5" max="5" width="6" customWidth="1"/>
    <col min="6" max="6" width="7" customWidth="1"/>
    <col min="7" max="7" width="16" customWidth="1"/>
    <col min="8" max="8" width="15" customWidth="1"/>
    <col min="9" max="9" width="12" customWidth="1"/>
    <col min="10" max="10" width="15" customWidth="1"/>
    <col min="11" max="11" width="12" customWidth="1"/>
  </cols>
  <sheetData>
    <row r="1" ht="30" customHeight="1" spans="1:11" s="7" customFormat="1" x14ac:dyDescent="0.2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27</v>
      </c>
      <c r="G1" s="7" t="s">
        <v>62</v>
      </c>
      <c r="H1" s="7" t="s">
        <v>53</v>
      </c>
      <c r="I1" s="7" t="s">
        <v>63</v>
      </c>
      <c r="J1" s="7" t="s">
        <v>64</v>
      </c>
      <c r="K1" s="7" t="s">
        <v>9</v>
      </c>
    </row>
    <row r="2" spans="1:11" s="8" customFormat="1" x14ac:dyDescent="0.25">
      <c r="A2" s="8" t="s">
        <v>280</v>
      </c>
      <c r="B2" s="8" t="s">
        <v>165</v>
      </c>
      <c r="C2" s="8" t="s">
        <v>281</v>
      </c>
      <c r="D2" s="8" t="s">
        <v>78</v>
      </c>
      <c r="E2" s="8" t="s">
        <v>19</v>
      </c>
      <c r="F2" s="8" t="s">
        <v>30</v>
      </c>
      <c r="G2" s="8" t="s">
        <v>282</v>
      </c>
      <c r="H2" s="8" t="s">
        <v>283</v>
      </c>
      <c r="I2" s="8" t="s">
        <v>284</v>
      </c>
      <c r="J2" s="8" t="s">
        <v>285</v>
      </c>
      <c r="K2" s="8" t="s">
        <v>50</v>
      </c>
    </row>
    <row r="3" spans="1:11" s="3" customFormat="1" x14ac:dyDescent="0.25">
      <c r="A3" s="3" t="s">
        <v>286</v>
      </c>
      <c r="B3" s="3" t="s">
        <v>165</v>
      </c>
      <c r="C3" s="3" t="s">
        <v>287</v>
      </c>
      <c r="D3" s="3" t="s">
        <v>78</v>
      </c>
      <c r="E3" s="3" t="s">
        <v>19</v>
      </c>
      <c r="F3" s="3" t="s">
        <v>30</v>
      </c>
      <c r="G3" s="3" t="s">
        <v>282</v>
      </c>
      <c r="H3" s="3" t="s">
        <v>283</v>
      </c>
      <c r="I3" s="3" t="s">
        <v>288</v>
      </c>
      <c r="J3" s="3" t="s">
        <v>285</v>
      </c>
      <c r="K3" s="3" t="s">
        <v>50</v>
      </c>
    </row>
    <row r="4" spans="1:11" s="8" customFormat="1" x14ac:dyDescent="0.25">
      <c r="A4" s="8" t="s">
        <v>289</v>
      </c>
      <c r="B4" s="8" t="s">
        <v>290</v>
      </c>
      <c r="C4" s="8" t="s">
        <v>291</v>
      </c>
      <c r="D4" s="8" t="s">
        <v>78</v>
      </c>
      <c r="E4" s="8" t="s">
        <v>19</v>
      </c>
      <c r="F4" s="8" t="s">
        <v>30</v>
      </c>
      <c r="G4" s="8" t="s">
        <v>292</v>
      </c>
      <c r="H4" s="8" t="s">
        <v>293</v>
      </c>
      <c r="I4" s="8" t="s">
        <v>294</v>
      </c>
      <c r="J4" s="8" t="s">
        <v>285</v>
      </c>
      <c r="K4" s="8" t="s">
        <v>50</v>
      </c>
    </row>
    <row r="5" spans="1:11" s="3" customFormat="1" x14ac:dyDescent="0.25">
      <c r="A5" s="3" t="s">
        <v>295</v>
      </c>
      <c r="B5" s="3" t="s">
        <v>165</v>
      </c>
      <c r="C5" s="3" t="s">
        <v>296</v>
      </c>
      <c r="D5" s="3" t="s">
        <v>78</v>
      </c>
      <c r="E5" s="3" t="s">
        <v>19</v>
      </c>
      <c r="F5" s="3" t="s">
        <v>30</v>
      </c>
      <c r="G5" s="3" t="s">
        <v>282</v>
      </c>
      <c r="H5" s="3" t="s">
        <v>126</v>
      </c>
      <c r="I5" s="3" t="s">
        <v>127</v>
      </c>
      <c r="J5" s="3" t="s">
        <v>285</v>
      </c>
      <c r="K5" s="3" t="s">
        <v>50</v>
      </c>
    </row>
    <row r="6" spans="1:11" s="8" customFormat="1" x14ac:dyDescent="0.25">
      <c r="A6" s="8" t="s">
        <v>297</v>
      </c>
      <c r="B6" s="8" t="s">
        <v>165</v>
      </c>
      <c r="C6" s="8" t="s">
        <v>298</v>
      </c>
      <c r="D6" s="8" t="s">
        <v>78</v>
      </c>
      <c r="E6" s="8" t="s">
        <v>19</v>
      </c>
      <c r="F6" s="8" t="s">
        <v>30</v>
      </c>
      <c r="G6" s="8" t="s">
        <v>299</v>
      </c>
      <c r="H6" s="8" t="s">
        <v>126</v>
      </c>
      <c r="I6" s="8" t="s">
        <v>300</v>
      </c>
      <c r="J6" s="8" t="s">
        <v>285</v>
      </c>
      <c r="K6" s="8" t="s">
        <v>50</v>
      </c>
    </row>
    <row r="7" spans="1:11" s="3" customFormat="1" x14ac:dyDescent="0.25">
      <c r="A7" s="3" t="s">
        <v>301</v>
      </c>
      <c r="B7" s="3" t="s">
        <v>302</v>
      </c>
      <c r="C7" s="3" t="s">
        <v>303</v>
      </c>
      <c r="D7" s="3" t="s">
        <v>78</v>
      </c>
      <c r="E7" s="3" t="s">
        <v>19</v>
      </c>
      <c r="F7" s="3" t="s">
        <v>30</v>
      </c>
      <c r="G7" s="3" t="s">
        <v>304</v>
      </c>
      <c r="H7" s="3" t="s">
        <v>305</v>
      </c>
      <c r="I7" s="3" t="s">
        <v>306</v>
      </c>
      <c r="J7" s="3" t="s">
        <v>307</v>
      </c>
      <c r="K7" s="3" t="s">
        <v>50</v>
      </c>
    </row>
    <row r="8" spans="1:11" s="8" customFormat="1" x14ac:dyDescent="0.25">
      <c r="A8" s="8" t="s">
        <v>308</v>
      </c>
      <c r="B8" s="8" t="s">
        <v>309</v>
      </c>
      <c r="C8" s="8" t="s">
        <v>310</v>
      </c>
      <c r="D8" s="8" t="s">
        <v>68</v>
      </c>
      <c r="E8" s="8" t="s">
        <v>19</v>
      </c>
      <c r="F8" s="8" t="s">
        <v>30</v>
      </c>
      <c r="G8" s="8" t="s">
        <v>311</v>
      </c>
      <c r="H8" s="8" t="s">
        <v>312</v>
      </c>
      <c r="I8" s="8" t="s">
        <v>313</v>
      </c>
      <c r="J8" s="8" t="s">
        <v>314</v>
      </c>
      <c r="K8" s="8" t="s">
        <v>50</v>
      </c>
    </row>
    <row r="9" spans="1:11" s="3" customFormat="1" x14ac:dyDescent="0.25">
      <c r="A9" s="3" t="s">
        <v>315</v>
      </c>
      <c r="B9" s="3" t="s">
        <v>302</v>
      </c>
      <c r="C9" s="3" t="s">
        <v>316</v>
      </c>
      <c r="D9" s="3" t="s">
        <v>78</v>
      </c>
      <c r="E9" s="3" t="s">
        <v>19</v>
      </c>
      <c r="F9" s="3" t="s">
        <v>30</v>
      </c>
      <c r="G9" s="3" t="s">
        <v>311</v>
      </c>
      <c r="H9" s="3" t="s">
        <v>312</v>
      </c>
      <c r="I9" s="3" t="s">
        <v>317</v>
      </c>
      <c r="J9" s="3" t="s">
        <v>307</v>
      </c>
      <c r="K9" s="3" t="s">
        <v>50</v>
      </c>
    </row>
    <row r="10" spans="1:11" s="8" customFormat="1" x14ac:dyDescent="0.25">
      <c r="A10" s="8" t="s">
        <v>318</v>
      </c>
      <c r="B10" s="8" t="s">
        <v>302</v>
      </c>
      <c r="C10" s="8" t="s">
        <v>319</v>
      </c>
      <c r="D10" s="8" t="s">
        <v>78</v>
      </c>
      <c r="E10" s="8" t="s">
        <v>21</v>
      </c>
      <c r="F10" s="8" t="s">
        <v>30</v>
      </c>
      <c r="G10" s="8" t="s">
        <v>285</v>
      </c>
      <c r="H10" s="8" t="s">
        <v>320</v>
      </c>
      <c r="I10" s="8" t="s">
        <v>321</v>
      </c>
      <c r="J10" s="8" t="s">
        <v>285</v>
      </c>
      <c r="K10" s="8" t="s">
        <v>50</v>
      </c>
    </row>
    <row r="11" spans="1:11" s="3" customFormat="1" x14ac:dyDescent="0.25">
      <c r="A11" s="3" t="s">
        <v>322</v>
      </c>
      <c r="B11" s="3" t="s">
        <v>290</v>
      </c>
      <c r="C11" s="3" t="s">
        <v>323</v>
      </c>
      <c r="D11" s="3" t="s">
        <v>324</v>
      </c>
      <c r="E11" s="3" t="s">
        <v>23</v>
      </c>
      <c r="F11" s="3" t="s">
        <v>30</v>
      </c>
      <c r="G11" s="3" t="s">
        <v>299</v>
      </c>
      <c r="H11" s="3" t="s">
        <v>325</v>
      </c>
      <c r="I11" s="3" t="s">
        <v>326</v>
      </c>
      <c r="J11" s="3" t="s">
        <v>72</v>
      </c>
      <c r="K11" s="3" t="s">
        <v>50</v>
      </c>
    </row>
    <row r="12" spans="1:11" s="8" customFormat="1" x14ac:dyDescent="0.25">
      <c r="A12" s="8" t="s">
        <v>327</v>
      </c>
      <c r="B12" s="8" t="s">
        <v>211</v>
      </c>
      <c r="C12" s="8" t="s">
        <v>328</v>
      </c>
      <c r="D12" s="8" t="s">
        <v>213</v>
      </c>
      <c r="E12" s="8" t="s">
        <v>19</v>
      </c>
      <c r="F12" s="8" t="s">
        <v>30</v>
      </c>
      <c r="G12" s="8" t="s">
        <v>299</v>
      </c>
      <c r="H12" s="8" t="s">
        <v>220</v>
      </c>
      <c r="I12" s="8" t="s">
        <v>329</v>
      </c>
      <c r="J12" s="8" t="s">
        <v>72</v>
      </c>
      <c r="K12" s="8" t="s">
        <v>46</v>
      </c>
    </row>
    <row r="13" spans="1:11" s="3" customFormat="1" x14ac:dyDescent="0.25">
      <c r="A13" s="3" t="s">
        <v>330</v>
      </c>
      <c r="B13" s="3" t="s">
        <v>211</v>
      </c>
      <c r="C13" s="3" t="s">
        <v>331</v>
      </c>
      <c r="D13" s="3" t="s">
        <v>195</v>
      </c>
      <c r="E13" s="3" t="s">
        <v>19</v>
      </c>
      <c r="F13" s="3" t="s">
        <v>30</v>
      </c>
      <c r="G13" s="3" t="s">
        <v>311</v>
      </c>
      <c r="H13" s="3" t="s">
        <v>215</v>
      </c>
      <c r="I13" s="3" t="s">
        <v>332</v>
      </c>
      <c r="J13" s="3" t="s">
        <v>314</v>
      </c>
      <c r="K13" s="3" t="s">
        <v>46</v>
      </c>
    </row>
    <row r="14" spans="1:11" s="8" customFormat="1" x14ac:dyDescent="0.25">
      <c r="A14" s="8" t="s">
        <v>333</v>
      </c>
      <c r="B14" s="8" t="s">
        <v>334</v>
      </c>
      <c r="C14" s="8" t="s">
        <v>335</v>
      </c>
      <c r="D14" s="8" t="s">
        <v>78</v>
      </c>
      <c r="E14" s="8" t="s">
        <v>19</v>
      </c>
      <c r="F14" s="8" t="s">
        <v>30</v>
      </c>
      <c r="G14" s="8" t="s">
        <v>336</v>
      </c>
      <c r="H14" s="8" t="s">
        <v>205</v>
      </c>
      <c r="I14" s="8" t="s">
        <v>337</v>
      </c>
      <c r="J14" s="8" t="s">
        <v>285</v>
      </c>
      <c r="K14" s="8" t="s">
        <v>46</v>
      </c>
    </row>
    <row r="15" spans="1:11" s="3" customFormat="1" x14ac:dyDescent="0.25">
      <c r="A15" s="3" t="s">
        <v>338</v>
      </c>
      <c r="B15" s="3" t="s">
        <v>334</v>
      </c>
      <c r="C15" s="3" t="s">
        <v>339</v>
      </c>
      <c r="D15" s="3" t="s">
        <v>78</v>
      </c>
      <c r="E15" s="3" t="s">
        <v>21</v>
      </c>
      <c r="F15" s="3" t="s">
        <v>30</v>
      </c>
      <c r="G15" s="3" t="s">
        <v>292</v>
      </c>
      <c r="H15" s="3" t="s">
        <v>215</v>
      </c>
      <c r="I15" s="3" t="s">
        <v>340</v>
      </c>
      <c r="J15" s="3" t="s">
        <v>72</v>
      </c>
      <c r="K15" s="3" t="s">
        <v>46</v>
      </c>
    </row>
    <row r="16" spans="1:11" s="8" customFormat="1" x14ac:dyDescent="0.25">
      <c r="A16" s="8" t="s">
        <v>341</v>
      </c>
      <c r="B16" s="8" t="s">
        <v>193</v>
      </c>
      <c r="C16" s="8" t="s">
        <v>342</v>
      </c>
      <c r="D16" s="8" t="s">
        <v>195</v>
      </c>
      <c r="E16" s="8" t="s">
        <v>19</v>
      </c>
      <c r="F16" s="8" t="s">
        <v>30</v>
      </c>
      <c r="G16" s="8" t="s">
        <v>336</v>
      </c>
      <c r="H16" s="8" t="s">
        <v>197</v>
      </c>
      <c r="I16" s="8" t="s">
        <v>343</v>
      </c>
      <c r="J16" s="8" t="s">
        <v>72</v>
      </c>
      <c r="K16" s="8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74" customWidth="1"/>
    <col min="4" max="4" width="15" customWidth="1"/>
    <col min="5" max="5" width="6" customWidth="1"/>
    <col min="6" max="6" width="7" customWidth="1"/>
    <col min="7" max="7" width="16" customWidth="1"/>
    <col min="8" max="8" width="15" customWidth="1"/>
    <col min="9" max="9" width="12" customWidth="1"/>
    <col min="10" max="10" width="15" customWidth="1"/>
    <col min="11" max="11" width="12" customWidth="1"/>
  </cols>
  <sheetData>
    <row r="1" ht="30" customHeight="1" spans="1:11" s="7" customFormat="1" x14ac:dyDescent="0.2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27</v>
      </c>
      <c r="G1" s="7" t="s">
        <v>62</v>
      </c>
      <c r="H1" s="7" t="s">
        <v>53</v>
      </c>
      <c r="I1" s="7" t="s">
        <v>63</v>
      </c>
      <c r="J1" s="7" t="s">
        <v>64</v>
      </c>
      <c r="K1" s="7" t="s">
        <v>9</v>
      </c>
    </row>
    <row r="2" spans="1:11" s="8" customFormat="1" x14ac:dyDescent="0.25">
      <c r="A2" s="8" t="s">
        <v>344</v>
      </c>
      <c r="B2" s="8" t="s">
        <v>165</v>
      </c>
      <c r="C2" s="8" t="s">
        <v>345</v>
      </c>
      <c r="D2" s="8" t="s">
        <v>68</v>
      </c>
      <c r="E2" s="8" t="s">
        <v>19</v>
      </c>
      <c r="F2" s="8" t="s">
        <v>34</v>
      </c>
      <c r="G2" s="8" t="s">
        <v>346</v>
      </c>
      <c r="H2" s="8" t="s">
        <v>347</v>
      </c>
      <c r="I2" s="8" t="s">
        <v>348</v>
      </c>
      <c r="J2" s="8" t="s">
        <v>72</v>
      </c>
      <c r="K2" s="8" t="s">
        <v>50</v>
      </c>
    </row>
    <row r="3" spans="1:11" s="3" customFormat="1" x14ac:dyDescent="0.25">
      <c r="A3" s="3" t="s">
        <v>349</v>
      </c>
      <c r="B3" s="3" t="s">
        <v>302</v>
      </c>
      <c r="C3" s="3" t="s">
        <v>350</v>
      </c>
      <c r="D3" s="3" t="s">
        <v>68</v>
      </c>
      <c r="E3" s="3" t="s">
        <v>19</v>
      </c>
      <c r="F3" s="3" t="s">
        <v>34</v>
      </c>
      <c r="G3" s="3" t="s">
        <v>346</v>
      </c>
      <c r="H3" s="3" t="s">
        <v>179</v>
      </c>
      <c r="I3" s="3" t="s">
        <v>351</v>
      </c>
      <c r="J3" s="3" t="s">
        <v>72</v>
      </c>
      <c r="K3" s="3" t="s">
        <v>50</v>
      </c>
    </row>
    <row r="4" spans="1:11" s="8" customFormat="1" x14ac:dyDescent="0.25">
      <c r="A4" s="8" t="s">
        <v>352</v>
      </c>
      <c r="B4" s="8" t="s">
        <v>302</v>
      </c>
      <c r="C4" s="8" t="s">
        <v>353</v>
      </c>
      <c r="D4" s="8" t="s">
        <v>68</v>
      </c>
      <c r="E4" s="8" t="s">
        <v>19</v>
      </c>
      <c r="F4" s="8" t="s">
        <v>34</v>
      </c>
      <c r="G4" s="8" t="s">
        <v>346</v>
      </c>
      <c r="H4" s="8" t="s">
        <v>320</v>
      </c>
      <c r="I4" s="8" t="s">
        <v>354</v>
      </c>
      <c r="J4" s="8" t="s">
        <v>72</v>
      </c>
      <c r="K4" s="8" t="s">
        <v>50</v>
      </c>
    </row>
    <row r="5" spans="1:11" s="3" customFormat="1" x14ac:dyDescent="0.25">
      <c r="A5" s="3" t="s">
        <v>355</v>
      </c>
      <c r="B5" s="3" t="s">
        <v>302</v>
      </c>
      <c r="C5" s="3" t="s">
        <v>356</v>
      </c>
      <c r="D5" s="3" t="s">
        <v>78</v>
      </c>
      <c r="E5" s="3" t="s">
        <v>19</v>
      </c>
      <c r="F5" s="3" t="s">
        <v>34</v>
      </c>
      <c r="G5" s="3" t="s">
        <v>346</v>
      </c>
      <c r="H5" s="3" t="s">
        <v>320</v>
      </c>
      <c r="I5" s="3" t="s">
        <v>357</v>
      </c>
      <c r="J5" s="3" t="s">
        <v>72</v>
      </c>
      <c r="K5" s="3" t="s">
        <v>50</v>
      </c>
    </row>
    <row r="6" spans="1:11" s="8" customFormat="1" x14ac:dyDescent="0.25">
      <c r="A6" s="8" t="s">
        <v>358</v>
      </c>
      <c r="B6" s="8" t="s">
        <v>359</v>
      </c>
      <c r="C6" s="8" t="s">
        <v>360</v>
      </c>
      <c r="D6" s="8" t="s">
        <v>213</v>
      </c>
      <c r="E6" s="8" t="s">
        <v>19</v>
      </c>
      <c r="F6" s="8" t="s">
        <v>34</v>
      </c>
      <c r="G6" s="8" t="s">
        <v>361</v>
      </c>
      <c r="H6" s="8" t="s">
        <v>362</v>
      </c>
      <c r="I6" s="8" t="s">
        <v>363</v>
      </c>
      <c r="J6" s="8" t="s">
        <v>72</v>
      </c>
      <c r="K6" s="8" t="s">
        <v>50</v>
      </c>
    </row>
    <row r="7" spans="1:11" s="3" customFormat="1" x14ac:dyDescent="0.25">
      <c r="A7" s="3" t="s">
        <v>364</v>
      </c>
      <c r="B7" s="3" t="s">
        <v>290</v>
      </c>
      <c r="C7" s="3" t="s">
        <v>365</v>
      </c>
      <c r="D7" s="3" t="s">
        <v>68</v>
      </c>
      <c r="E7" s="3" t="s">
        <v>21</v>
      </c>
      <c r="F7" s="3" t="s">
        <v>34</v>
      </c>
      <c r="G7" s="3" t="s">
        <v>346</v>
      </c>
      <c r="H7" s="3" t="s">
        <v>190</v>
      </c>
      <c r="I7" s="3" t="s">
        <v>366</v>
      </c>
      <c r="J7" s="3" t="s">
        <v>367</v>
      </c>
      <c r="K7" s="3" t="s">
        <v>50</v>
      </c>
    </row>
    <row r="8" spans="1:11" s="8" customFormat="1" x14ac:dyDescent="0.25">
      <c r="A8" s="8" t="s">
        <v>368</v>
      </c>
      <c r="B8" s="8" t="s">
        <v>290</v>
      </c>
      <c r="C8" s="8" t="s">
        <v>369</v>
      </c>
      <c r="D8" s="8" t="s">
        <v>68</v>
      </c>
      <c r="E8" s="8" t="s">
        <v>21</v>
      </c>
      <c r="F8" s="8" t="s">
        <v>34</v>
      </c>
      <c r="G8" s="8" t="s">
        <v>370</v>
      </c>
      <c r="H8" s="8" t="s">
        <v>371</v>
      </c>
      <c r="I8" s="8" t="s">
        <v>372</v>
      </c>
      <c r="J8" s="8" t="s">
        <v>367</v>
      </c>
      <c r="K8" s="8" t="s">
        <v>50</v>
      </c>
    </row>
    <row r="9" spans="1:11" s="3" customFormat="1" x14ac:dyDescent="0.25">
      <c r="A9" s="3" t="s">
        <v>373</v>
      </c>
      <c r="B9" s="3" t="s">
        <v>165</v>
      </c>
      <c r="C9" s="3" t="s">
        <v>374</v>
      </c>
      <c r="D9" s="3" t="s">
        <v>68</v>
      </c>
      <c r="E9" s="3" t="s">
        <v>21</v>
      </c>
      <c r="F9" s="3" t="s">
        <v>34</v>
      </c>
      <c r="G9" s="3" t="s">
        <v>346</v>
      </c>
      <c r="H9" s="3" t="s">
        <v>172</v>
      </c>
      <c r="I9" s="3" t="s">
        <v>375</v>
      </c>
      <c r="J9" s="3" t="s">
        <v>72</v>
      </c>
      <c r="K9" s="3" t="s">
        <v>50</v>
      </c>
    </row>
    <row r="10" spans="1:11" s="8" customFormat="1" x14ac:dyDescent="0.25">
      <c r="A10" s="8" t="s">
        <v>376</v>
      </c>
      <c r="B10" s="8" t="s">
        <v>359</v>
      </c>
      <c r="C10" s="8" t="s">
        <v>377</v>
      </c>
      <c r="D10" s="8" t="s">
        <v>213</v>
      </c>
      <c r="E10" s="8" t="s">
        <v>23</v>
      </c>
      <c r="F10" s="8" t="s">
        <v>34</v>
      </c>
      <c r="G10" s="8" t="s">
        <v>346</v>
      </c>
      <c r="H10" s="8" t="s">
        <v>362</v>
      </c>
      <c r="I10" s="8" t="s">
        <v>378</v>
      </c>
      <c r="J10" s="8" t="s">
        <v>72</v>
      </c>
      <c r="K10" s="8" t="s">
        <v>50</v>
      </c>
    </row>
    <row r="11" spans="1:11" s="3" customFormat="1" x14ac:dyDescent="0.25">
      <c r="A11" s="3" t="s">
        <v>379</v>
      </c>
      <c r="B11" s="3" t="s">
        <v>302</v>
      </c>
      <c r="C11" s="3" t="s">
        <v>380</v>
      </c>
      <c r="D11" s="3" t="s">
        <v>78</v>
      </c>
      <c r="E11" s="3" t="s">
        <v>21</v>
      </c>
      <c r="F11" s="3" t="s">
        <v>34</v>
      </c>
      <c r="G11" s="3" t="s">
        <v>346</v>
      </c>
      <c r="H11" s="3" t="s">
        <v>381</v>
      </c>
      <c r="I11" s="3" t="s">
        <v>382</v>
      </c>
      <c r="J11" s="3" t="s">
        <v>72</v>
      </c>
      <c r="K11" s="3" t="s">
        <v>50</v>
      </c>
    </row>
    <row r="12" spans="1:11" s="8" customFormat="1" x14ac:dyDescent="0.25">
      <c r="A12" s="8" t="s">
        <v>383</v>
      </c>
      <c r="B12" s="8" t="s">
        <v>334</v>
      </c>
      <c r="C12" s="8" t="s">
        <v>384</v>
      </c>
      <c r="D12" s="8" t="s">
        <v>213</v>
      </c>
      <c r="E12" s="8" t="s">
        <v>19</v>
      </c>
      <c r="F12" s="8" t="s">
        <v>34</v>
      </c>
      <c r="G12" s="8" t="s">
        <v>361</v>
      </c>
      <c r="H12" s="8" t="s">
        <v>205</v>
      </c>
      <c r="I12" s="8" t="s">
        <v>385</v>
      </c>
      <c r="J12" s="8" t="s">
        <v>72</v>
      </c>
      <c r="K12" s="8" t="s">
        <v>46</v>
      </c>
    </row>
    <row r="13" spans="1:11" s="3" customFormat="1" x14ac:dyDescent="0.25">
      <c r="A13" s="3" t="s">
        <v>386</v>
      </c>
      <c r="B13" s="3" t="s">
        <v>193</v>
      </c>
      <c r="C13" s="3" t="s">
        <v>387</v>
      </c>
      <c r="D13" s="3" t="s">
        <v>195</v>
      </c>
      <c r="E13" s="3" t="s">
        <v>19</v>
      </c>
      <c r="F13" s="3" t="s">
        <v>34</v>
      </c>
      <c r="G13" s="3" t="s">
        <v>196</v>
      </c>
      <c r="H13" s="3" t="s">
        <v>197</v>
      </c>
      <c r="I13" s="3" t="s">
        <v>388</v>
      </c>
      <c r="J13" s="3" t="s">
        <v>367</v>
      </c>
      <c r="K13" s="3" t="s">
        <v>50</v>
      </c>
    </row>
    <row r="14" spans="1:11" s="8" customFormat="1" x14ac:dyDescent="0.25">
      <c r="A14" s="8" t="s">
        <v>389</v>
      </c>
      <c r="B14" s="8" t="s">
        <v>193</v>
      </c>
      <c r="C14" s="8" t="s">
        <v>390</v>
      </c>
      <c r="D14" s="8" t="s">
        <v>213</v>
      </c>
      <c r="E14" s="8" t="s">
        <v>19</v>
      </c>
      <c r="F14" s="8" t="s">
        <v>34</v>
      </c>
      <c r="G14" s="8" t="s">
        <v>361</v>
      </c>
      <c r="H14" s="8" t="s">
        <v>391</v>
      </c>
      <c r="I14" s="8" t="s">
        <v>392</v>
      </c>
      <c r="J14" s="8" t="s">
        <v>72</v>
      </c>
      <c r="K14" s="8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90" customWidth="1"/>
  </cols>
  <sheetData>
    <row r="1" ht="30" customHeight="1" spans="1:2" s="7" customFormat="1" x14ac:dyDescent="0.25">
      <c r="A1" s="7" t="s">
        <v>393</v>
      </c>
      <c r="B1" s="7" t="s">
        <v>59</v>
      </c>
    </row>
    <row r="2" spans="1:2" s="8" customFormat="1" x14ac:dyDescent="0.25">
      <c r="A2" s="8" t="s">
        <v>68</v>
      </c>
      <c r="B2" s="8" t="s">
        <v>394</v>
      </c>
    </row>
    <row r="3" spans="1:2" s="3" customFormat="1" x14ac:dyDescent="0.25">
      <c r="A3" s="3" t="s">
        <v>131</v>
      </c>
      <c r="B3" s="3" t="s">
        <v>395</v>
      </c>
    </row>
    <row r="4" spans="1:2" s="8" customFormat="1" x14ac:dyDescent="0.25">
      <c r="A4" s="8" t="s">
        <v>149</v>
      </c>
      <c r="B4" s="8" t="s">
        <v>396</v>
      </c>
    </row>
    <row r="5" spans="1:2" s="3" customFormat="1" x14ac:dyDescent="0.25">
      <c r="A5" s="3" t="s">
        <v>324</v>
      </c>
      <c r="B5" s="3" t="s">
        <v>397</v>
      </c>
    </row>
    <row r="6" spans="1:2" s="8" customFormat="1" x14ac:dyDescent="0.25">
      <c r="A6" s="8" t="s">
        <v>213</v>
      </c>
      <c r="B6" s="8" t="s">
        <v>398</v>
      </c>
    </row>
    <row r="7" spans="1:2" s="3" customFormat="1" x14ac:dyDescent="0.25">
      <c r="A7" s="3" t="s">
        <v>78</v>
      </c>
      <c r="B7" s="3" t="s">
        <v>399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2" customWidth="1"/>
    <col min="2" max="2" width="22" customWidth="1"/>
  </cols>
  <sheetData>
    <row r="1" spans="1:2" s="4" customFormat="1" x14ac:dyDescent="0.25">
      <c r="A1" s="4" t="s">
        <v>400</v>
      </c>
      <c r="B1" s="4" t="s">
        <v>401</v>
      </c>
    </row>
    <row r="2" spans="1:2" x14ac:dyDescent="0.25">
      <c r="A2" t="s">
        <v>402</v>
      </c>
      <c r="B2" s="5">
        <f>COUNTA('Functional RTM'!A2:A200)</f>
      </c>
    </row>
    <row r="3" spans="1:2" x14ac:dyDescent="0.25">
      <c r="A3" t="s">
        <v>403</v>
      </c>
      <c r="B3" s="5">
        <f>COUNTA('Security RTM'!A2:A200)</f>
      </c>
    </row>
    <row r="4" spans="1:2" x14ac:dyDescent="0.25">
      <c r="A4" t="s">
        <v>404</v>
      </c>
      <c r="B4" s="5">
        <f>COUNTA('NFR RTM'!A2:A200)</f>
      </c>
    </row>
    <row r="5" spans="1:2" x14ac:dyDescent="0.25">
      <c r="A5" t="s">
        <v>405</v>
      </c>
      <c r="B5" s="5">
        <f>COUNTA('Functional RTM'!A2:A200)+COUNTA('Security RTM'!A2:A200)+COUNTA('NFR RTM'!A2:A200)</f>
      </c>
    </row>
    <row r="6" spans="1:2" x14ac:dyDescent="0.25">
      <c r="A6" t="s">
        <v>406</v>
      </c>
      <c r="B6" s="5">
        <f>COUNTIF('Functional RTM'!E2:E200,"M")+COUNTIF('Security RTM'!E2:E200,"M")+COUNTIF('NFR RTM'!E2:E200,"M")</f>
      </c>
    </row>
    <row r="7" spans="1:2" x14ac:dyDescent="0.25">
      <c r="A7" t="s">
        <v>50</v>
      </c>
      <c r="B7" s="5">
        <f>COUNTIF('Functional RTM'!K2:K200,"Verified")+COUNTIF('Security RTM'!K2:K200,"Verified")+COUNTIF('NFR RTM'!K2:K200,"Verified")</f>
      </c>
    </row>
    <row r="8" spans="1:2" x14ac:dyDescent="0.25">
      <c r="A8" t="s">
        <v>407</v>
      </c>
      <c r="B8" s="5">
        <f>COUNTIF('Functional RTM'!K2:K200,"Developed")+COUNTIF('Security RTM'!K2:K200,"Developed")+COUNTIF('NFR RTM'!K2:K200,"Developed")</f>
      </c>
    </row>
    <row r="9" spans="1:2" x14ac:dyDescent="0.25">
      <c r="A9" t="s">
        <v>408</v>
      </c>
      <c r="B9" s="5">
        <f>ROUND((COUNTIF('Functional RTM'!K2:K200,"Verified")+COUNTIF('Security RTM'!K2:K200,"Verified")+COUNTIF('NFR RTM'!K2:K200,"Verified"))/(COUNTA('Functional RTM'!A2:A200)+COUNTA('Security RTM'!A2:A200)+COUNTA('NFR RTM'!A2:A200))*100,1)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Legend</vt:lpstr>
      <vt:lpstr>Functional RTM</vt:lpstr>
      <vt:lpstr>Security RTM</vt:lpstr>
      <vt:lpstr>NFR RTM</vt:lpstr>
      <vt:lpstr>Role Ref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2026-08-01T04:06:39Z</dcterms:created>
  <dcterms:modified xsi:type="dcterms:W3CDTF">2026-08-01T04:06:39Z</dcterms:modified>
</cp:coreProperties>
</file>