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Timeline" state="visible" r:id="rId5"/>
    <sheet sheetId="3" name="Gantt" state="visible" r:id="rId6"/>
    <sheet sheetId="4" name="Summary" state="visible" r:id="rId7"/>
  </sheets>
  <calcPr calcId="171027"/>
</workbook>
</file>

<file path=xl/sharedStrings.xml><?xml version="1.0" encoding="utf-8"?>
<sst xmlns="http://schemas.openxmlformats.org/spreadsheetml/2006/main" count="231" uniqueCount="85">
  <si>
    <t>PulseDesk — Project Timeline</t>
  </si>
  <si>
    <t>Document ID</t>
  </si>
  <si>
    <t>PD-TL-001</t>
  </si>
  <si>
    <t>Version</t>
  </si>
  <si>
    <t>1.0</t>
  </si>
  <si>
    <t>Date</t>
  </si>
  <si>
    <t>2026-08-01</t>
  </si>
  <si>
    <t>Prepared by</t>
  </si>
  <si>
    <t>TandSol</t>
  </si>
  <si>
    <t>Status</t>
  </si>
  <si>
    <t>Living</t>
  </si>
  <si>
    <t>Related documents</t>
  </si>
  <si>
    <t>PD-PMP-001, PD-CHR-001</t>
  </si>
  <si>
    <t>Classification</t>
  </si>
  <si>
    <t>Internal</t>
  </si>
  <si>
    <t>Revision note</t>
  </si>
  <si>
    <t>v1.0 — initial baseline issued with the first working build.</t>
  </si>
  <si>
    <t>Phase</t>
  </si>
  <si>
    <t>Name</t>
  </si>
  <si>
    <t>Activities</t>
  </si>
  <si>
    <t>Start</t>
  </si>
  <si>
    <t>End</t>
  </si>
  <si>
    <t>Duration</t>
  </si>
  <si>
    <t>Owner</t>
  </si>
  <si>
    <t>Parallel/Sequential</t>
  </si>
  <si>
    <t>Phase 1</t>
  </si>
  <si>
    <t>Discovery</t>
  </si>
  <si>
    <t>Scope the seven requested panels, choose free keyless data sources, verify each endpoint responds</t>
  </si>
  <si>
    <t>1 day</t>
  </si>
  <si>
    <t>Sequential</t>
  </si>
  <si>
    <t>Phase 2</t>
  </si>
  <si>
    <t>Architecture</t>
  </si>
  <si>
    <t>Main/renderer split, IPC surface, tiered refresh design, storage layout</t>
  </si>
  <si>
    <t>Phase 3</t>
  </si>
  <si>
    <t>Data services</t>
  </si>
  <si>
    <t>stocks, news, sentiment, crypto, weather, portfolio, market, http, icon</t>
  </si>
  <si>
    <t>Parallel</t>
  </si>
  <si>
    <t>Phase 4</t>
  </si>
  <si>
    <t>Shell</t>
  </si>
  <si>
    <t>Frameless pinned window, tray menu, global shortcuts, settings persistence</t>
  </si>
  <si>
    <t>Phase 5</t>
  </si>
  <si>
    <t>Interface</t>
  </si>
  <si>
    <t>Vibrant glass theme, card grid, SVG sparklines and donut, modals, compact mode</t>
  </si>
  <si>
    <t>Phase 6</t>
  </si>
  <si>
    <t>Verification</t>
  </si>
  <si>
    <t>Live smoke test of all services, layout audit at three widths, security review</t>
  </si>
  <si>
    <t>Phase 7</t>
  </si>
  <si>
    <t>Documentation</t>
  </si>
  <si>
    <t>Handbook plus the nine controlled documents</t>
  </si>
  <si>
    <t>Phase 8</t>
  </si>
  <si>
    <t>Roadmap</t>
  </si>
  <si>
    <t>Broker CSV import, sell flow, alerts, corporate actions, signed installer</t>
  </si>
  <si>
    <t>2026-08-04</t>
  </si>
  <si>
    <t>2026-10-31</t>
  </si>
  <si>
    <t>13 weeks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</si>
  <si>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</si>
  <si>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</si>
  <si>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</si>
  <si>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</si>
  <si>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</si>
  <si>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</si>
  <si>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</si>
  <si>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</si>
  <si>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</si>
  <si>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</si>
  <si>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</si>
  <si>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</si>
  <si>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</si>
  <si>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</si>
  <si>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Phase 1 Discovery</t>
  </si>
  <si>
    <t/>
  </si>
  <si>
    <t>Phase 2 Architecture</t>
  </si>
  <si>
    <t>Phase 3 Data services</t>
  </si>
  <si>
    <t>Phase 4 Shell</t>
  </si>
  <si>
    <t>Phase 5 Interface</t>
  </si>
  <si>
    <t>Phase 6 Verification</t>
  </si>
  <si>
    <t>Phase 7 Documentation</t>
  </si>
  <si>
    <t>Phase 8 Roadmap</t>
  </si>
  <si>
    <t>Metric</t>
  </si>
  <si>
    <t>Value</t>
  </si>
  <si>
    <t>Phases</t>
  </si>
  <si>
    <t>Parallel phases</t>
  </si>
  <si>
    <t>Sequential phases</t>
  </si>
  <si>
    <t>Build completed on</t>
  </si>
  <si>
    <t>Roadmap 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</si>
</sst>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0152B"/>
    </font>
    <font>
      <b/>
      <color rgb="FFFFFFFF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3B2E7E"/>
      </patternFill>
    </fill>
    <fill>
      <patternFill patternType="solid">
        <fgColor rgb="FFF2F4FB"/>
      </patternFill>
    </fill>
    <fill>
      <patternFill patternType="solid">
        <fgColor rgb="FF6C5CE7"/>
      </patternFill>
    </fill>
    <fill>
      <patternFill patternType="solid">
        <fgColor rgb="FFB9C4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/>
    <xf numFmtId="0" fontId="0" fillId="0" borderId="0" xfId="0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0" fillId="3" borderId="0" xfId="0" applyFill="1" applyAlignment="1">
      <alignment vertical="top" wrapText="1"/>
    </xf>
    <xf numFmtId="0" fontId="3" fillId="2" borderId="0" xfId="0" applyFont="1" applyFill="1"/>
    <xf numFmtId="0" fontId="0" fillId="4" borderId="0" xfId="0" applyFill="1"/>
    <xf numFmtId="0" fontId="0" fillId="5" borderId="0" xfId="0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6" customWidth="1"/>
    <col min="2" max="2" width="92" customWidth="1"/>
  </cols>
  <sheetData>
    <row r="1" ht="30" customHeight="1" spans="1:2" x14ac:dyDescent="0.25">
      <c r="A1" s="1" t="s">
        <v>0</v>
      </c>
      <c r="B1" s="1"/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3" t="s">
        <v>4</v>
      </c>
    </row>
    <row r="4" spans="1:2" x14ac:dyDescent="0.25">
      <c r="A4" s="2" t="s">
        <v>5</v>
      </c>
      <c r="B4" s="3" t="s">
        <v>6</v>
      </c>
    </row>
    <row r="5" spans="1:2" x14ac:dyDescent="0.25">
      <c r="A5" s="2" t="s">
        <v>7</v>
      </c>
      <c r="B5" s="3" t="s">
        <v>8</v>
      </c>
    </row>
    <row r="6" spans="1:2" x14ac:dyDescent="0.25">
      <c r="A6" s="2" t="s">
        <v>9</v>
      </c>
      <c r="B6" s="3" t="s">
        <v>10</v>
      </c>
    </row>
    <row r="7" spans="1:2" x14ac:dyDescent="0.25">
      <c r="A7" s="2" t="s">
        <v>11</v>
      </c>
      <c r="B7" s="3" t="s">
        <v>12</v>
      </c>
    </row>
    <row r="8" spans="1:2" x14ac:dyDescent="0.25">
      <c r="A8" s="2" t="s">
        <v>13</v>
      </c>
      <c r="B8" s="3" t="s">
        <v>14</v>
      </c>
    </row>
    <row r="9" spans="1:2" x14ac:dyDescent="0.25">
      <c r="A9" s="2" t="s">
        <v>15</v>
      </c>
      <c r="B9" s="3" t="s">
        <v>16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8" customWidth="1"/>
    <col min="3" max="3" width="76" customWidth="1"/>
    <col min="4" max="5" width="13" customWidth="1"/>
    <col min="6" max="6" width="12" customWidth="1"/>
    <col min="7" max="7" width="10" customWidth="1"/>
    <col min="8" max="8" width="20" customWidth="1"/>
  </cols>
  <sheetData>
    <row r="1" ht="30" customHeight="1" spans="1:8" s="4" customFormat="1" x14ac:dyDescent="0.25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</row>
    <row r="2" spans="1:8" s="5" customFormat="1" x14ac:dyDescent="0.25">
      <c r="A2" s="5" t="s">
        <v>25</v>
      </c>
      <c r="B2" s="5" t="s">
        <v>26</v>
      </c>
      <c r="C2" s="5" t="s">
        <v>27</v>
      </c>
      <c r="D2" s="5" t="s">
        <v>6</v>
      </c>
      <c r="E2" s="5" t="s">
        <v>6</v>
      </c>
      <c r="F2" s="5" t="s">
        <v>28</v>
      </c>
      <c r="G2" s="5" t="s">
        <v>23</v>
      </c>
      <c r="H2" s="5" t="s">
        <v>29</v>
      </c>
    </row>
    <row r="3" spans="1:8" s="3" customFormat="1" x14ac:dyDescent="0.25">
      <c r="A3" s="3" t="s">
        <v>30</v>
      </c>
      <c r="B3" s="3" t="s">
        <v>31</v>
      </c>
      <c r="C3" s="3" t="s">
        <v>32</v>
      </c>
      <c r="D3" s="3" t="s">
        <v>6</v>
      </c>
      <c r="E3" s="3" t="s">
        <v>6</v>
      </c>
      <c r="F3" s="3" t="s">
        <v>28</v>
      </c>
      <c r="G3" s="3" t="s">
        <v>23</v>
      </c>
      <c r="H3" s="3" t="s">
        <v>29</v>
      </c>
    </row>
    <row r="4" spans="1:8" s="5" customFormat="1" x14ac:dyDescent="0.25">
      <c r="A4" s="5" t="s">
        <v>33</v>
      </c>
      <c r="B4" s="5" t="s">
        <v>34</v>
      </c>
      <c r="C4" s="5" t="s">
        <v>35</v>
      </c>
      <c r="D4" s="5" t="s">
        <v>6</v>
      </c>
      <c r="E4" s="5" t="s">
        <v>6</v>
      </c>
      <c r="F4" s="5" t="s">
        <v>28</v>
      </c>
      <c r="G4" s="5" t="s">
        <v>23</v>
      </c>
      <c r="H4" s="5" t="s">
        <v>36</v>
      </c>
    </row>
    <row r="5" spans="1:8" s="3" customFormat="1" x14ac:dyDescent="0.25">
      <c r="A5" s="3" t="s">
        <v>37</v>
      </c>
      <c r="B5" s="3" t="s">
        <v>38</v>
      </c>
      <c r="C5" s="3" t="s">
        <v>39</v>
      </c>
      <c r="D5" s="3" t="s">
        <v>6</v>
      </c>
      <c r="E5" s="3" t="s">
        <v>6</v>
      </c>
      <c r="F5" s="3" t="s">
        <v>28</v>
      </c>
      <c r="G5" s="3" t="s">
        <v>23</v>
      </c>
      <c r="H5" s="3" t="s">
        <v>36</v>
      </c>
    </row>
    <row r="6" spans="1:8" s="5" customFormat="1" x14ac:dyDescent="0.25">
      <c r="A6" s="5" t="s">
        <v>40</v>
      </c>
      <c r="B6" s="5" t="s">
        <v>41</v>
      </c>
      <c r="C6" s="5" t="s">
        <v>42</v>
      </c>
      <c r="D6" s="5" t="s">
        <v>6</v>
      </c>
      <c r="E6" s="5" t="s">
        <v>6</v>
      </c>
      <c r="F6" s="5" t="s">
        <v>28</v>
      </c>
      <c r="G6" s="5" t="s">
        <v>23</v>
      </c>
      <c r="H6" s="5" t="s">
        <v>29</v>
      </c>
    </row>
    <row r="7" spans="1:8" s="3" customFormat="1" x14ac:dyDescent="0.25">
      <c r="A7" s="3" t="s">
        <v>43</v>
      </c>
      <c r="B7" s="3" t="s">
        <v>44</v>
      </c>
      <c r="C7" s="3" t="s">
        <v>45</v>
      </c>
      <c r="D7" s="3" t="s">
        <v>6</v>
      </c>
      <c r="E7" s="3" t="s">
        <v>6</v>
      </c>
      <c r="F7" s="3" t="s">
        <v>28</v>
      </c>
      <c r="G7" s="3" t="s">
        <v>23</v>
      </c>
      <c r="H7" s="3" t="s">
        <v>29</v>
      </c>
    </row>
    <row r="8" spans="1:8" s="5" customFormat="1" x14ac:dyDescent="0.25">
      <c r="A8" s="5" t="s">
        <v>46</v>
      </c>
      <c r="B8" s="5" t="s">
        <v>47</v>
      </c>
      <c r="C8" s="5" t="s">
        <v>48</v>
      </c>
      <c r="D8" s="5" t="s">
        <v>6</v>
      </c>
      <c r="E8" s="5" t="s">
        <v>6</v>
      </c>
      <c r="F8" s="5" t="s">
        <v>28</v>
      </c>
      <c r="G8" s="5" t="s">
        <v>23</v>
      </c>
      <c r="H8" s="5" t="s">
        <v>29</v>
      </c>
    </row>
    <row r="9" spans="1:8" s="3" customFormat="1" x14ac:dyDescent="0.25">
      <c r="A9" s="3" t="s">
        <v>49</v>
      </c>
      <c r="B9" s="3" t="s">
        <v>50</v>
      </c>
      <c r="C9" s="3" t="s">
        <v>51</v>
      </c>
      <c r="D9" s="3" t="s">
        <v>52</v>
      </c>
      <c r="E9" s="3" t="s">
        <v>53</v>
      </c>
      <c r="F9" s="3" t="s">
        <v>54</v>
      </c>
      <c r="G9" s="3" t="s">
        <v>23</v>
      </c>
      <c r="H9" s="3" t="s">
        <v>29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FormatPr defaultRowHeight="15" outlineLevelRow="0" outlineLevelCol="0" x14ac:dyDescent="55"/>
  <cols>
    <col min="1" max="1" width="20" customWidth="1"/>
    <col min="2" max="15" width="5" customWidth="1"/>
  </cols>
  <sheetData>
    <row r="1" spans="1:15" s="6" customFormat="1" x14ac:dyDescent="0.25">
      <c r="A1" s="6" t="s">
        <v>17</v>
      </c>
      <c r="B1" s="6" t="s">
        <v>55</v>
      </c>
      <c r="C1" s="6" t="s">
        <v>56</v>
      </c>
      <c r="D1" s="6" t="s">
        <v>57</v>
      </c>
      <c r="E1" s="6" t="s">
        <v>58</v>
      </c>
      <c r="F1" s="6" t="s">
        <v>59</v>
      </c>
      <c r="G1" s="6" t="s">
        <v>60</v>
      </c>
      <c r="H1" s="6" t="s">
        <v>61</v>
      </c>
      <c r="I1" s="6" t="s">
        <v>62</v>
      </c>
      <c r="J1" s="6" t="s">
        <v>63</v>
      </c>
      <c r="K1" s="6" t="s">
        <v>64</v>
      </c>
      <c r="L1" s="6" t="s">
        <v>65</v>
      </c>
      <c r="M1" s="6" t="s">
        <v>66</v>
      </c>
      <c r="N1" s="6" t="s">
        <v>67</v>
      </c>
      <c r="O1" s="6" t="s">
        <v>68</v>
      </c>
    </row>
    <row r="2" spans="1:15" x14ac:dyDescent="0.25">
      <c r="A2" t="s">
        <v>69</v>
      </c>
      <c r="B2" s="7" t="s">
        <v>70</v>
      </c>
      <c r="C2" t="s">
        <v>70</v>
      </c>
      <c r="D2" t="s">
        <v>70</v>
      </c>
      <c r="E2" t="s">
        <v>70</v>
      </c>
      <c r="F2" t="s">
        <v>70</v>
      </c>
      <c r="G2" t="s">
        <v>70</v>
      </c>
      <c r="H2" t="s">
        <v>70</v>
      </c>
      <c r="I2" t="s">
        <v>70</v>
      </c>
      <c r="J2" t="s">
        <v>70</v>
      </c>
      <c r="K2" t="s">
        <v>70</v>
      </c>
      <c r="L2" t="s">
        <v>70</v>
      </c>
      <c r="M2" t="s">
        <v>70</v>
      </c>
      <c r="N2" t="s">
        <v>70</v>
      </c>
      <c r="O2" t="s">
        <v>70</v>
      </c>
    </row>
    <row r="3" spans="1:15" x14ac:dyDescent="0.25">
      <c r="A3" t="s">
        <v>71</v>
      </c>
      <c r="B3" s="7" t="s">
        <v>70</v>
      </c>
      <c r="C3" t="s">
        <v>70</v>
      </c>
      <c r="D3" t="s">
        <v>70</v>
      </c>
      <c r="E3" t="s">
        <v>70</v>
      </c>
      <c r="F3" t="s">
        <v>70</v>
      </c>
      <c r="G3" t="s">
        <v>70</v>
      </c>
      <c r="H3" t="s">
        <v>70</v>
      </c>
      <c r="I3" t="s">
        <v>70</v>
      </c>
      <c r="J3" t="s">
        <v>70</v>
      </c>
      <c r="K3" t="s">
        <v>70</v>
      </c>
      <c r="L3" t="s">
        <v>70</v>
      </c>
      <c r="M3" t="s">
        <v>70</v>
      </c>
      <c r="N3" t="s">
        <v>70</v>
      </c>
      <c r="O3" t="s">
        <v>70</v>
      </c>
    </row>
    <row r="4" spans="1:15" x14ac:dyDescent="0.25">
      <c r="A4" t="s">
        <v>72</v>
      </c>
      <c r="B4" s="7" t="s">
        <v>70</v>
      </c>
      <c r="C4" t="s">
        <v>70</v>
      </c>
      <c r="D4" t="s">
        <v>70</v>
      </c>
      <c r="E4" t="s">
        <v>70</v>
      </c>
      <c r="F4" t="s">
        <v>70</v>
      </c>
      <c r="G4" t="s">
        <v>70</v>
      </c>
      <c r="H4" t="s">
        <v>70</v>
      </c>
      <c r="I4" t="s">
        <v>70</v>
      </c>
      <c r="J4" t="s">
        <v>70</v>
      </c>
      <c r="K4" t="s">
        <v>70</v>
      </c>
      <c r="L4" t="s">
        <v>70</v>
      </c>
      <c r="M4" t="s">
        <v>70</v>
      </c>
      <c r="N4" t="s">
        <v>70</v>
      </c>
      <c r="O4" t="s">
        <v>70</v>
      </c>
    </row>
    <row r="5" spans="1:15" x14ac:dyDescent="0.25">
      <c r="A5" t="s">
        <v>73</v>
      </c>
      <c r="B5" s="7" t="s">
        <v>70</v>
      </c>
      <c r="C5" t="s">
        <v>70</v>
      </c>
      <c r="D5" t="s">
        <v>70</v>
      </c>
      <c r="E5" t="s">
        <v>70</v>
      </c>
      <c r="F5" t="s">
        <v>70</v>
      </c>
      <c r="G5" t="s">
        <v>70</v>
      </c>
      <c r="H5" t="s">
        <v>70</v>
      </c>
      <c r="I5" t="s">
        <v>70</v>
      </c>
      <c r="J5" t="s">
        <v>70</v>
      </c>
      <c r="K5" t="s">
        <v>70</v>
      </c>
      <c r="L5" t="s">
        <v>70</v>
      </c>
      <c r="M5" t="s">
        <v>70</v>
      </c>
      <c r="N5" t="s">
        <v>70</v>
      </c>
      <c r="O5" t="s">
        <v>70</v>
      </c>
    </row>
    <row r="6" spans="1:15" x14ac:dyDescent="0.25">
      <c r="A6" t="s">
        <v>74</v>
      </c>
      <c r="B6" s="7" t="s">
        <v>70</v>
      </c>
      <c r="C6" t="s">
        <v>70</v>
      </c>
      <c r="D6" t="s">
        <v>70</v>
      </c>
      <c r="E6" t="s">
        <v>70</v>
      </c>
      <c r="F6" t="s">
        <v>70</v>
      </c>
      <c r="G6" t="s">
        <v>70</v>
      </c>
      <c r="H6" t="s">
        <v>70</v>
      </c>
      <c r="I6" t="s">
        <v>70</v>
      </c>
      <c r="J6" t="s">
        <v>70</v>
      </c>
      <c r="K6" t="s">
        <v>70</v>
      </c>
      <c r="L6" t="s">
        <v>70</v>
      </c>
      <c r="M6" t="s">
        <v>70</v>
      </c>
      <c r="N6" t="s">
        <v>70</v>
      </c>
      <c r="O6" t="s">
        <v>70</v>
      </c>
    </row>
    <row r="7" spans="1:15" x14ac:dyDescent="0.25">
      <c r="A7" t="s">
        <v>75</v>
      </c>
      <c r="B7" s="7" t="s">
        <v>70</v>
      </c>
      <c r="C7" t="s">
        <v>70</v>
      </c>
      <c r="D7" t="s">
        <v>70</v>
      </c>
      <c r="E7" t="s">
        <v>70</v>
      </c>
      <c r="F7" t="s">
        <v>70</v>
      </c>
      <c r="G7" t="s">
        <v>70</v>
      </c>
      <c r="H7" t="s">
        <v>70</v>
      </c>
      <c r="I7" t="s">
        <v>70</v>
      </c>
      <c r="J7" t="s">
        <v>70</v>
      </c>
      <c r="K7" t="s">
        <v>70</v>
      </c>
      <c r="L7" t="s">
        <v>70</v>
      </c>
      <c r="M7" t="s">
        <v>70</v>
      </c>
      <c r="N7" t="s">
        <v>70</v>
      </c>
      <c r="O7" t="s">
        <v>70</v>
      </c>
    </row>
    <row r="8" spans="1:15" x14ac:dyDescent="0.25">
      <c r="A8" t="s">
        <v>76</v>
      </c>
      <c r="B8" s="7" t="s">
        <v>70</v>
      </c>
      <c r="C8" t="s">
        <v>70</v>
      </c>
      <c r="D8" t="s">
        <v>70</v>
      </c>
      <c r="E8" t="s">
        <v>70</v>
      </c>
      <c r="F8" t="s">
        <v>70</v>
      </c>
      <c r="G8" t="s">
        <v>70</v>
      </c>
      <c r="H8" t="s">
        <v>70</v>
      </c>
      <c r="I8" t="s">
        <v>70</v>
      </c>
      <c r="J8" t="s">
        <v>70</v>
      </c>
      <c r="K8" t="s">
        <v>70</v>
      </c>
      <c r="L8" t="s">
        <v>70</v>
      </c>
      <c r="M8" t="s">
        <v>70</v>
      </c>
      <c r="N8" t="s">
        <v>70</v>
      </c>
      <c r="O8" t="s">
        <v>70</v>
      </c>
    </row>
    <row r="9" spans="1:15" x14ac:dyDescent="0.25">
      <c r="A9" t="s">
        <v>77</v>
      </c>
      <c r="B9" t="s">
        <v>70</v>
      </c>
      <c r="C9" s="8" t="s">
        <v>70</v>
      </c>
      <c r="D9" s="8" t="s">
        <v>70</v>
      </c>
      <c r="E9" s="8" t="s">
        <v>70</v>
      </c>
      <c r="F9" s="8" t="s">
        <v>70</v>
      </c>
      <c r="G9" s="8" t="s">
        <v>70</v>
      </c>
      <c r="H9" s="8" t="s">
        <v>70</v>
      </c>
      <c r="I9" s="8" t="s">
        <v>70</v>
      </c>
      <c r="J9" s="8" t="s">
        <v>70</v>
      </c>
      <c r="K9" s="8" t="s">
        <v>70</v>
      </c>
      <c r="L9" s="8" t="s">
        <v>70</v>
      </c>
      <c r="M9" s="8" t="s">
        <v>70</v>
      </c>
      <c r="N9" s="8" t="s">
        <v>70</v>
      </c>
      <c r="O9" s="8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42" customWidth="1"/>
    <col min="2" max="2" width="22" customWidth="1"/>
  </cols>
  <sheetData>
    <row r="1" spans="1:2" s="6" customFormat="1" x14ac:dyDescent="0.25">
      <c r="A1" s="6" t="s">
        <v>78</v>
      </c>
      <c r="B1" s="6" t="s">
        <v>79</v>
      </c>
    </row>
    <row r="2" spans="1:2" x14ac:dyDescent="0.25">
      <c r="A2" t="s">
        <v>80</v>
      </c>
      <c r="B2" s="9">
        <f>COUNTA(Timeline!A2:A100)</f>
      </c>
    </row>
    <row r="3" spans="1:2" x14ac:dyDescent="0.25">
      <c r="A3" t="s">
        <v>81</v>
      </c>
      <c r="B3" s="9">
        <f>COUNTIF(Timeline!H2:H100,"Parallel")</f>
      </c>
    </row>
    <row r="4" spans="1:2" x14ac:dyDescent="0.25">
      <c r="A4" t="s">
        <v>82</v>
      </c>
      <c r="B4" s="9">
        <f>COUNTIF(Timeline!H2:H100,"Sequential")</f>
      </c>
    </row>
    <row r="5" spans="1:2" x14ac:dyDescent="0.25">
      <c r="A5" t="s">
        <v>83</v>
      </c>
      <c r="B5" s="9">
        <f>Timeline!E7</f>
      </c>
    </row>
    <row r="6" spans="1:2" x14ac:dyDescent="0.25">
      <c r="A6" t="s">
        <v>84</v>
      </c>
      <c r="B6" s="9">
        <f>Timeline!E9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Timeline</vt:lpstr>
      <vt:lpstr>Gantt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2026-08-01T02:57:35Z</dcterms:created>
  <dcterms:modified xsi:type="dcterms:W3CDTF">2026-08-01T02:57:35Z</dcterms:modified>
</cp:coreProperties>
</file>